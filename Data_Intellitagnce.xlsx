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All_Project_Data\EXCEL_PROJECTS\Final Project\"/>
    </mc:Choice>
  </mc:AlternateContent>
  <xr:revisionPtr revIDLastSave="0" documentId="13_ncr:1_{691AEC1E-B794-4A12-841E-F9383C1C5D78}" xr6:coauthVersionLast="47" xr6:coauthVersionMax="47" xr10:uidLastSave="{00000000-0000-0000-0000-000000000000}"/>
  <bookViews>
    <workbookView xWindow="-120" yWindow="-120" windowWidth="20730" windowHeight="11040" xr2:uid="{4F1FF102-8FDD-4A45-8543-09DAFC26AD56}"/>
  </bookViews>
  <sheets>
    <sheet name="Dashboard" sheetId="9" r:id="rId1"/>
    <sheet name="Analysis" sheetId="2" r:id="rId2"/>
    <sheet name="Visualizations" sheetId="6" r:id="rId3"/>
    <sheet name="Scenario Summary" sheetId="15" r:id="rId4"/>
    <sheet name="Raw Data" sheetId="1" r:id="rId5"/>
  </sheets>
  <definedNames>
    <definedName name="_xlnm._FilterDatabase" localSheetId="4" hidden="1">'Raw Data'!$A$1:$O$251</definedName>
    <definedName name="NativeTimeline_Date">#N/A</definedName>
    <definedName name="Slicer_Region">#N/A</definedName>
  </definedNames>
  <calcPr calcId="191029" iterate="1"/>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2" i="6" l="1"/>
  <c r="M12" i="6" s="1"/>
  <c r="L13" i="6"/>
  <c r="M13" i="6" s="1"/>
  <c r="I46" i="2" l="1"/>
  <c r="I44" i="2"/>
  <c r="A74" i="2" a="1"/>
  <c r="A74" i="2" s="1"/>
  <c r="F13" i="2"/>
  <c r="A33" i="2" a="1"/>
  <c r="A33" i="2" s="1"/>
  <c r="A89" i="2" a="1"/>
  <c r="A89" i="2" s="1"/>
  <c r="B89" i="2" s="1" a="1"/>
  <c r="B89" i="2" s="1"/>
  <c r="C89" i="2" a="1"/>
  <c r="C89" i="2" s="1"/>
  <c r="D89" i="2" a="1"/>
  <c r="D89" i="2" s="1"/>
  <c r="D90" i="2" a="1"/>
  <c r="D90" i="2" s="1"/>
  <c r="B83" i="2"/>
  <c r="C75" i="2" l="1"/>
  <c r="C77" i="2"/>
  <c r="C79" i="2"/>
  <c r="C81" i="2"/>
  <c r="C83" i="2"/>
  <c r="C76" i="2"/>
  <c r="C78" i="2"/>
  <c r="C80" i="2"/>
  <c r="C82" i="2"/>
  <c r="B76" i="2"/>
  <c r="B78" i="2"/>
  <c r="B80" i="2"/>
  <c r="B82" i="2"/>
  <c r="B75" i="2"/>
  <c r="B77" i="2"/>
  <c r="B79" i="2"/>
  <c r="B81" i="2"/>
  <c r="B74" i="2" l="1"/>
  <c r="C74" i="2"/>
  <c r="L14" i="6" l="1"/>
  <c r="M14" i="6" s="1"/>
  <c r="L11" i="6"/>
  <c r="C3" i="1"/>
  <c r="C4" i="1"/>
  <c r="C5" i="1"/>
  <c r="B61" i="2" s="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 i="1"/>
  <c r="B62" i="2" s="1"/>
  <c r="A11" i="2" a="1"/>
  <c r="A32" i="2" a="1"/>
  <c r="C62" i="2" l="1"/>
  <c r="A32" i="2"/>
  <c r="A11" i="2"/>
  <c r="B69" i="2"/>
  <c r="B65" i="2"/>
  <c r="B68" i="2"/>
  <c r="B64" i="2"/>
  <c r="B60" i="2"/>
  <c r="B67" i="2"/>
  <c r="B63" i="2"/>
  <c r="C63" i="2" s="1"/>
  <c r="B59" i="2"/>
  <c r="B58" i="2"/>
  <c r="B66" i="2"/>
  <c r="D107" i="2" a="1"/>
  <c r="D107" i="2" s="1"/>
  <c r="A107" i="2" a="1"/>
  <c r="A107" i="2" s="1"/>
  <c r="A43" i="2" a="1"/>
  <c r="A43" i="2" s="1"/>
  <c r="B11" i="2" a="1"/>
  <c r="G107" i="2" l="1" a="1"/>
  <c r="G107" i="2" s="1"/>
  <c r="H107" i="2" s="1" a="1"/>
  <c r="H107" i="2" s="1"/>
  <c r="C59" i="2"/>
  <c r="C67" i="2"/>
  <c r="C65" i="2"/>
  <c r="B11" i="2"/>
  <c r="F12" i="2"/>
  <c r="C66" i="2"/>
  <c r="C68" i="2"/>
  <c r="C69" i="2"/>
  <c r="C60" i="2"/>
  <c r="C64" i="2"/>
  <c r="C61" i="2"/>
  <c r="B50" i="2"/>
  <c r="B46" i="2"/>
  <c r="C52" i="2"/>
  <c r="C48" i="2"/>
  <c r="C44" i="2"/>
  <c r="B43" i="2"/>
  <c r="F45" i="2" s="1" a="1"/>
  <c r="F45" i="2" s="1"/>
  <c r="F51" i="2" s="1"/>
  <c r="F53" i="2" s="1"/>
  <c r="B49" i="2"/>
  <c r="B45" i="2"/>
  <c r="C51" i="2"/>
  <c r="C47" i="2"/>
  <c r="B51" i="2"/>
  <c r="B47" i="2"/>
  <c r="C43" i="2"/>
  <c r="C49" i="2"/>
  <c r="C45" i="2"/>
  <c r="B52" i="2"/>
  <c r="B48" i="2"/>
  <c r="B44" i="2"/>
  <c r="C50" i="2"/>
  <c r="C46" i="2"/>
  <c r="F11" i="2"/>
  <c r="H109" i="2" l="1" a="1"/>
  <c r="H109" i="2" s="1"/>
  <c r="H125" i="2" a="1"/>
  <c r="H125" i="2" s="1"/>
  <c r="H120" i="2" a="1"/>
  <c r="H120" i="2" s="1"/>
  <c r="H118" i="2" a="1"/>
  <c r="H118" i="2" s="1"/>
  <c r="H111" i="2" a="1"/>
  <c r="H111" i="2" s="1"/>
  <c r="H114" i="2" a="1"/>
  <c r="H114" i="2" s="1"/>
  <c r="H128" i="2" a="1"/>
  <c r="H128" i="2" s="1"/>
  <c r="H123" i="2" a="1"/>
  <c r="H123" i="2" s="1"/>
  <c r="H121" i="2" a="1"/>
  <c r="H121" i="2" s="1"/>
  <c r="H116" i="2" a="1"/>
  <c r="H116" i="2" s="1"/>
  <c r="H127" i="2" a="1"/>
  <c r="H127" i="2" s="1"/>
  <c r="H122" i="2" a="1"/>
  <c r="H122" i="2" s="1"/>
  <c r="H115" i="2" a="1"/>
  <c r="H115" i="2" s="1"/>
  <c r="H113" i="2" a="1"/>
  <c r="H113" i="2" s="1"/>
  <c r="H108" i="2" a="1"/>
  <c r="H108" i="2" s="1"/>
  <c r="H124" i="2" a="1"/>
  <c r="H124" i="2" s="1"/>
  <c r="H117" i="2" a="1"/>
  <c r="H117" i="2" s="1"/>
  <c r="H112" i="2" a="1"/>
  <c r="H112" i="2" s="1"/>
  <c r="H110" i="2" a="1"/>
  <c r="H110" i="2" s="1"/>
  <c r="H126" i="2" a="1"/>
  <c r="H126" i="2" s="1"/>
  <c r="H119" i="2" a="1"/>
  <c r="H119" i="2" s="1"/>
  <c r="F46" i="2" a="1"/>
  <c r="F46" i="2" s="1"/>
  <c r="F47" i="2" l="1"/>
  <c r="I52" i="2"/>
  <c r="I5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<sst xmlns="http://schemas.openxmlformats.org/spreadsheetml/2006/main" count="2567" uniqueCount="511">
  <si>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</si>
  <si>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</si>
  <si>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</si>
  <si>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</si>
  <si>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</si>
  <si>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</si>
  <si>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</si>
  <si>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</si>
  <si>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</si>
  <si>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</si>
  <si>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</si>
  <si>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</si>
  <si>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</si>
  <si>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</si>
  <si>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</si>
  <si>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</si>
  <si>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</si>
  <si>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</si>
  <si>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</si>
  <si>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</si>
  <si>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</si>
  <si>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</si>
  <si>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</si>
  <si>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</si>
  <si>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</si>
  <si>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</si>
  <si>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</si>
  <si>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</si>
  <si>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</si>
  <si>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</si>
  <si>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</si>
  <si>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</si>
  <si>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</si>
  <si>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</si>
  <si>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</si>
  <si>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</si>
  <si>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</si>
  <si>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</si>
  <si>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</si>
  <si>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</si>
  <si>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</si>
  <si>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</si>
  <si>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</si>
  <si>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</si>
  <si>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</si>
  <si>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</si>
  <si>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</si>
  <si>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</si>
  <si>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</si>
  <si>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</si>
  <si>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</si>
  <si>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</si>
  <si>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</si>
  <si>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</si>
  <si>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</si>
  <si>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</si>
  <si>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</si>
  <si>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</si>
  <si>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</si>
  <si>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</si>
  <si>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</si>
  <si>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</si>
  <si>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</si>
  <si>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</si>
  <si>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</si>
  <si>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</si>
  <si>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</si>
  <si>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</si>
  <si>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</si>
  <si>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</si>
  <si>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</si>
  <si>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</si>
  <si>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</si>
  <si>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</si>
  <si>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</si>
  <si>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</si>
  <si>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</si>
  <si>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</si>
  <si>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</si>
  <si>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</si>
  <si>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</si>
  <si>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</si>
  <si>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</si>
  <si>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</si>
  <si>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</si>
  <si>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</si>
  <si>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</si>
  <si>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</si>
  <si>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</si>
  <si>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</si>
  <si>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</si>
  <si>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</si>
  <si>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</si>
  <si>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</si>
  <si>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</si>
  <si>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</si>
  <si>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</si>
  <si>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</si>
  <si>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</si>
  <si>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</si>
  <si>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</si>
  <si>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</si>
  <si>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</si>
  <si>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</si>
  <si>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</si>
  <si>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</si>
  <si>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</si>
  <si>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</si>
  <si>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</si>
  <si>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</si>
  <si>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</si>
  <si>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</si>
  <si>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</si>
  <si>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</si>
  <si>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</si>
  <si>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</si>
  <si>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</si>
  <si>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</si>
  <si>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</si>
  <si>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</si>
  <si>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</si>
  <si>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</si>
  <si>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</si>
  <si>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</si>
  <si>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</si>
  <si>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</si>
  <si>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</si>
  <si>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</si>
  <si>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</si>
  <si>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</si>
  <si>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</si>
  <si>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</si>
  <si>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</si>
  <si>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</si>
  <si>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</si>
  <si>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</si>
  <si>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</si>
  <si>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</si>
  <si>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</si>
  <si>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</si>
  <si>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</si>
  <si>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</si>
  <si>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</si>
  <si>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</si>
  <si>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</si>
  <si>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</si>
  <si>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</si>
  <si>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</si>
  <si>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</si>
  <si>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</si>
  <si>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</si>
  <si>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</si>
  <si>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</si>
  <si>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</si>
  <si>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</si>
  <si>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</si>
  <si>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</si>
  <si>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</si>
  <si>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</si>
  <si>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</si>
  <si>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</si>
  <si>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</si>
  <si>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</si>
  <si>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</si>
  <si>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</si>
  <si>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</si>
  <si>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</si>
  <si>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</si>
  <si>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</si>
  <si>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</si>
  <si>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</si>
  <si>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</si>
  <si>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</si>
  <si>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</si>
  <si>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</si>
  <si>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</si>
  <si>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</si>
  <si>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</si>
  <si>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</si>
  <si>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</si>
  <si>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</si>
  <si>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</si>
  <si>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</si>
  <si>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</si>
  <si>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</si>
  <si>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</si>
  <si>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</si>
  <si>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</si>
  <si>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</si>
  <si>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</si>
  <si>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</si>
  <si>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</si>
  <si>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</si>
  <si>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</si>
  <si>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</si>
  <si>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</si>
  <si>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</si>
  <si>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</si>
  <si>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</si>
  <si>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</si>
  <si>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</si>
  <si>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</si>
  <si>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</si>
  <si>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</si>
  <si>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</si>
  <si>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</si>
  <si>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</si>
  <si>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</si>
  <si>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</si>
  <si>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</si>
  <si>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</si>
  <si>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</si>
  <si>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</si>
  <si>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</si>
  <si>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</si>
  <si>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</si>
  <si>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</si>
  <si>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</si>
  <si>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</si>
  <si>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</si>
  <si>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</si>
  <si>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</si>
  <si>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</si>
  <si>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</si>
  <si>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</si>
  <si>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</si>
  <si>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</si>
  <si>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</si>
  <si>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</si>
  <si>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</si>
  <si>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</si>
  <si>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</si>
  <si>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</si>
  <si>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</si>
  <si>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</si>
  <si>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</si>
  <si>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</si>
  <si>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</si>
  <si>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</si>
  <si>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</si>
  <si>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</si>
  <si>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</si>
  <si>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</si>
  <si>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</si>
  <si>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</si>
  <si>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</si>
  <si>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</si>
  <si>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</si>
  <si>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</si>
  <si>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</si>
  <si>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</si>
  <si>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</si>
  <si>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</si>
  <si>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</si>
  <si>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</si>
  <si>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</si>
  <si>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</si>
  <si>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</si>
  <si>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</si>
  <si>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</si>
  <si>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</si>
  <si>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</si>
  <si>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</si>
  <si>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</si>
  <si>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</si>
  <si>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</si>
  <si>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</si>
  <si>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</si>
  <si>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</si>
  <si>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</si>
  <si>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</si>
  <si>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</si>
  <si>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</si>
  <si>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</si>
  <si>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</si>
  <si>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</si>
  <si>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</si>
  <si>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</si>
  <si>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</si>
  <si>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</si>
  <si>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</si>
  <si>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</si>
  <si>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</si>
  <si>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</si>
  <si>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</si>
  <si>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</si>
  <si>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</si>
  <si>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</si>
  <si>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</si>
  <si>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</si>
  <si>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</si>
  <si>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</si>
  <si>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</si>
  <si>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</si>
  <si>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</si>
  <si>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</si>
  <si>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</si>
  <si>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</si>
  <si>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</si>
  <si>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</si>
  <si>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</si>
  <si>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</si>
  <si>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</si>
  <si>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</si>
  <si>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</si>
  <si>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</si>
  <si>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</si>
  <si>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</si>
  <si>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</si>
  <si>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</si>
  <si>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</si>
  <si>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</si>
  <si>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</si>
  <si>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</si>
  <si>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</si>
  <si>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</si>
  <si>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</si>
  <si>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</si>
  <si>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</si>
  <si>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</si>
  <si>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</si>
  <si>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</si>
  <si>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</si>
  <si>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</si>
  <si>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</si>
  <si>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</si>
  <si>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</si>
  <si>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</si>
  <si>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</si>
  <si>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</si>
  <si>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</si>
  <si>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</si>
  <si>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</si>
  <si>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</si>
  <si>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</si>
  <si>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</si>
  <si>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</si>
  <si>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</si>
  <si>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</si>
  <si>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</si>
  <si>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</si>
  <si>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</si>
  <si>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</si>
  <si>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</si>
  <si>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</si>
  <si>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</si>
  <si>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</si>
  <si>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</si>
  <si>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</si>
  <si>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</si>
  <si>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</si>
  <si>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</si>
  <si>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</si>
  <si>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</si>
  <si>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</si>
  <si>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</si>
  <si>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</si>
  <si>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</si>
  <si>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</si>
  <si>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</si>
  <si>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</si>
  <si>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</si>
  <si>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</si>
  <si>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</si>
  <si>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</si>
  <si>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</si>
  <si>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</si>
  <si>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</si>
  <si>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</si>
  <si>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</si>
  <si>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</si>
  <si>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</si>
  <si>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</si>
  <si>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</si>
  <si>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</si>
  <si>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</si>
  <si>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</si>
  <si>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</si>
  <si>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</si>
  <si>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</si>
  <si>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</si>
  <si>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</si>
  <si>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</si>
  <si>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</si>
  <si>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</si>
  <si>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</si>
  <si>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</si>
  <si>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</si>
  <si>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</si>
  <si>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</si>
  <si>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</si>
  <si>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</si>
  <si>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</si>
  <si>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</si>
  <si>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</si>
  <si>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</si>
  <si>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</si>
  <si>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</si>
  <si>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</si>
  <si>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Raw Data</t>
  </si>
  <si>
    <t>Transction Month Last Date</t>
  </si>
  <si>
    <t>Customer Period Time</t>
  </si>
  <si>
    <t>Select Region</t>
  </si>
  <si>
    <t>Product List</t>
  </si>
  <si>
    <t>Total Amount</t>
  </si>
  <si>
    <t>Select Trancation_ID</t>
  </si>
  <si>
    <t xml:space="preserve">Select Product </t>
  </si>
  <si>
    <t>Price Amount</t>
  </si>
  <si>
    <t>Total Quantity</t>
  </si>
  <si>
    <t>Final Amount</t>
  </si>
  <si>
    <t>Set Gol  change Quantity</t>
  </si>
  <si>
    <t xml:space="preserve">Final Amount </t>
  </si>
  <si>
    <t>Set Gol  change Price</t>
  </si>
  <si>
    <t>frequently purchased products</t>
  </si>
  <si>
    <t>Frequently Product</t>
  </si>
  <si>
    <t>Total Frequently</t>
  </si>
  <si>
    <t>Customer</t>
  </si>
  <si>
    <t>Pyment Method</t>
  </si>
  <si>
    <t>Paypal</t>
  </si>
  <si>
    <t xml:space="preserve">Both Method use Customer </t>
  </si>
  <si>
    <t>Short Name</t>
  </si>
  <si>
    <t>TotalRevenue</t>
  </si>
  <si>
    <t xml:space="preserve"> TotalQuantitySold</t>
  </si>
  <si>
    <t>Total Transaction</t>
  </si>
  <si>
    <t>Amount</t>
  </si>
  <si>
    <t>Product</t>
  </si>
  <si>
    <t>TOP 10 Customer</t>
  </si>
  <si>
    <t>Payment Method Distrbution</t>
  </si>
  <si>
    <t>Count of Payment_Method</t>
  </si>
  <si>
    <t>Customer Segment</t>
  </si>
  <si>
    <t>Count of Customer_Segment</t>
  </si>
  <si>
    <t>Count Transaction</t>
  </si>
  <si>
    <t>Month</t>
  </si>
  <si>
    <t>August</t>
  </si>
  <si>
    <t>July</t>
  </si>
  <si>
    <t>March</t>
  </si>
  <si>
    <t>May</t>
  </si>
  <si>
    <t>September</t>
  </si>
  <si>
    <t>June</t>
  </si>
  <si>
    <t>December</t>
  </si>
  <si>
    <t>October</t>
  </si>
  <si>
    <t>January</t>
  </si>
  <si>
    <t>February</t>
  </si>
  <si>
    <t>November</t>
  </si>
  <si>
    <t>April</t>
  </si>
  <si>
    <t>Months</t>
  </si>
  <si>
    <t>Growth Status</t>
  </si>
  <si>
    <t>-</t>
  </si>
  <si>
    <t>1) Date And Time Function</t>
  </si>
  <si>
    <t>2) Filter Function Top 5</t>
  </si>
  <si>
    <t>3) What-if-Analysis</t>
  </si>
  <si>
    <t>4) Conditional Formating</t>
  </si>
  <si>
    <t>Total Customer</t>
  </si>
  <si>
    <t>Best-Performing Product</t>
  </si>
  <si>
    <t>Top Revenue-Generating Customer</t>
  </si>
  <si>
    <t>Top Payment Preference</t>
  </si>
  <si>
    <t>Daynamic Data Storytelling</t>
  </si>
  <si>
    <t xml:space="preserve">Customer Segment </t>
  </si>
  <si>
    <t xml:space="preserve"> 5) Linear Regression </t>
  </si>
  <si>
    <t>Current Time and Date</t>
  </si>
  <si>
    <t>6) frequently purchased products</t>
  </si>
  <si>
    <t xml:space="preserve">7) Compare two List </t>
  </si>
  <si>
    <t>8) Abbreviations</t>
  </si>
  <si>
    <t>9)  Pivot Table Pivot Chart (Bar , Line, pie) , Kpi and Slicers and Timelines , 10) Data Analysis and Storytelling , 11) report and Dashboard</t>
  </si>
  <si>
    <t xml:space="preserve">Total Amount </t>
  </si>
  <si>
    <t>Expected Growth %</t>
  </si>
  <si>
    <t>$I$46</t>
  </si>
  <si>
    <t>$I$45</t>
  </si>
  <si>
    <t>Created by himanshi on 09-10-2026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</si>
  <si>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</si>
  <si>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</si>
  <si>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</si>
  <si>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</si>
  <si>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</si>
  <si>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</si>
  <si>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</si>
  <si>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Bast Case</t>
  </si>
  <si>
    <t>Normal</t>
  </si>
  <si>
    <t>Created by himanshi on 09-10-2026
Modified by himanshi on 09-10-2026</t>
  </si>
  <si>
    <t xml:space="preserve">Worst Case </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</si>
  <si>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</si>
  <si>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</si>
  <si>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</si>
  <si>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</si>
  <si>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</si>
  <si>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</si>
  <si>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</si>
  <si>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</si>
  <si>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</si>
  <si>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</si>
  <si>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</si>
  <si>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</si>
  <si>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</si>
  <si>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</si>
  <si>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</si>
  <si>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</si>
  <si>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</si>
  <si>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</si>
  <si>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</si>
  <si>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</si>
  <si>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</si>
  <si>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</si>
  <si>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</si>
  <si>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</si>
  <si>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</si>
  <si>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</si>
  <si>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Sum of Total_Amount</t>
  </si>
  <si>
    <t>Top Customer</t>
  </si>
  <si>
    <t>Top Product</t>
  </si>
  <si>
    <t>Day Transaction</t>
  </si>
  <si>
    <t xml:space="preserve">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</si>
</sst>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b/>
      <sz val="11"/>
      <color theme="0"/>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indexed="22"/>
        <bgColor indexed="24"/>
      </patternFill>
    </fill>
    <fill>
      <patternFill patternType="solid">
        <fgColor indexed="22"/>
        <bgColor indexed="7"/>
      </patternFill>
    </fill>
    <fill>
      <patternFill patternType="solid">
        <fgColor theme="3" tint="9.9978637043366805E-2"/>
        <bgColor indexed="24"/>
      </patternFill>
    </fill>
    <fill>
      <patternFill patternType="solid">
        <fgColor theme="4"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73">
    <xf numFmtId="0" fontId="0" fillId="0" borderId="0" xfId="0"/>
    <xf numFmtId="14" fontId="3" fillId="0" borderId="0" xfId="0" applyNumberFormat="1" applyFont="1"/>
    <xf numFmtId="0" fontId="0" fillId="0" borderId="1" xfId="0" applyBorder="1" applyAlignment="1">
      <alignment horizontal="center" vertical="center"/>
    </xf>
    <xf numFmtId="14" fontId="0" fillId="0" borderId="1" xfId="0" applyNumberFormat="1" applyBorder="1" applyAlignment="1">
      <alignment horizontal="center" vertical="center"/>
    </xf>
    <xf numFmtId="9" fontId="2" fillId="0" borderId="0" xfId="1" applyFont="1" applyFill="1" applyBorder="1" applyAlignment="1">
      <alignment horizontal="center" vertical="center"/>
    </xf>
    <xf numFmtId="0" fontId="0" fillId="0" borderId="0" xfId="0" applyFill="1" applyBorder="1" applyAlignment="1">
      <alignment horizontal="center" vertical="center"/>
    </xf>
    <xf numFmtId="14" fontId="0" fillId="0" borderId="0" xfId="0" applyNumberForma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14" fontId="0" fillId="0" borderId="0" xfId="0" applyNumberFormat="1"/>
    <xf numFmtId="0" fontId="0" fillId="0" borderId="1" xfId="0" applyBorder="1"/>
    <xf numFmtId="0" fontId="0" fillId="0" borderId="1" xfId="0" applyBorder="1" applyAlignment="1">
      <alignment horizontal="center"/>
    </xf>
    <xf numFmtId="0" fontId="0" fillId="0" borderId="1" xfId="0" applyNumberFormat="1" applyBorder="1" applyAlignment="1">
      <alignment horizontal="center"/>
    </xf>
    <xf numFmtId="0" fontId="2" fillId="0" borderId="1" xfId="0" applyFont="1" applyBorder="1"/>
    <xf numFmtId="1" fontId="0" fillId="0" borderId="1" xfId="0" applyNumberFormat="1" applyBorder="1"/>
    <xf numFmtId="2" fontId="2" fillId="0" borderId="1" xfId="0" applyNumberFormat="1" applyFont="1" applyBorder="1"/>
    <xf numFmtId="0" fontId="2" fillId="0" borderId="0" xfId="0" applyFont="1" applyBorder="1"/>
    <xf numFmtId="2" fontId="2" fillId="0" borderId="0" xfId="0" applyNumberFormat="1" applyFont="1" applyBorder="1"/>
    <xf numFmtId="0" fontId="0" fillId="0" borderId="1" xfId="0" applyNumberFormat="1" applyBorder="1"/>
    <xf numFmtId="0" fontId="0" fillId="0" borderId="4" xfId="0" applyNumberFormat="1"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0" fontId="0" fillId="3" borderId="1" xfId="0" applyFill="1" applyBorder="1"/>
    <xf numFmtId="0" fontId="0" fillId="5" borderId="0" xfId="0" applyFill="1"/>
    <xf numFmtId="0" fontId="0" fillId="3" borderId="1" xfId="0" applyFill="1" applyBorder="1" applyAlignment="1"/>
    <xf numFmtId="10" fontId="0" fillId="0" borderId="1" xfId="0" applyNumberFormat="1" applyBorder="1" applyAlignment="1">
      <alignment horizontal="center" vertical="center"/>
    </xf>
    <xf numFmtId="0" fontId="2" fillId="0" borderId="1" xfId="0" applyFont="1" applyBorder="1" applyAlignment="1">
      <alignment horizontal="center" vertical="center"/>
    </xf>
    <xf numFmtId="2" fontId="0" fillId="0" borderId="1" xfId="0" applyNumberFormat="1" applyBorder="1"/>
    <xf numFmtId="0" fontId="0" fillId="0" borderId="0" xfId="0" applyFill="1" applyBorder="1" applyAlignment="1"/>
    <xf numFmtId="0" fontId="0" fillId="0" borderId="12" xfId="0" applyFill="1" applyBorder="1" applyAlignment="1"/>
    <xf numFmtId="9" fontId="0" fillId="0" borderId="0" xfId="0" applyNumberFormat="1" applyFill="1" applyBorder="1" applyAlignment="1"/>
    <xf numFmtId="0" fontId="6" fillId="6" borderId="0" xfId="0" applyFont="1" applyFill="1" applyBorder="1" applyAlignment="1">
      <alignment horizontal="left"/>
    </xf>
    <xf numFmtId="0" fontId="7" fillId="6" borderId="12" xfId="0" applyFont="1" applyFill="1" applyBorder="1" applyAlignment="1">
      <alignment horizontal="left"/>
    </xf>
    <xf numFmtId="0" fontId="6" fillId="6" borderId="11" xfId="0" applyFont="1" applyFill="1" applyBorder="1" applyAlignment="1">
      <alignment horizontal="left"/>
    </xf>
    <xf numFmtId="9" fontId="0" fillId="7" borderId="0" xfId="0" applyNumberFormat="1" applyFill="1" applyBorder="1" applyAlignment="1"/>
    <xf numFmtId="0" fontId="9" fillId="0" borderId="0" xfId="0" applyFont="1" applyFill="1" applyBorder="1" applyAlignment="1">
      <alignment vertical="top" wrapText="1"/>
    </xf>
    <xf numFmtId="2" fontId="0" fillId="0" borderId="11" xfId="0" applyNumberFormat="1" applyFill="1" applyBorder="1" applyAlignment="1"/>
    <xf numFmtId="9" fontId="0" fillId="0" borderId="1" xfId="0" applyNumberFormat="1" applyBorder="1"/>
    <xf numFmtId="0" fontId="5" fillId="8" borderId="10" xfId="0" applyFont="1" applyFill="1" applyBorder="1" applyAlignment="1">
      <alignment horizontal="left"/>
    </xf>
    <xf numFmtId="0" fontId="8" fillId="8" borderId="10" xfId="0" applyFont="1" applyFill="1" applyBorder="1" applyAlignment="1">
      <alignment horizontal="right"/>
    </xf>
    <xf numFmtId="0" fontId="5" fillId="8" borderId="13" xfId="0" applyFont="1" applyFill="1" applyBorder="1" applyAlignment="1">
      <alignment horizontal="left"/>
    </xf>
    <xf numFmtId="0" fontId="8" fillId="8" borderId="13" xfId="0" applyFont="1" applyFill="1" applyBorder="1" applyAlignment="1">
      <alignment horizontal="right"/>
    </xf>
    <xf numFmtId="0" fontId="0" fillId="0" borderId="11" xfId="0" applyFill="1" applyBorder="1" applyAlignment="1"/>
    <xf numFmtId="0" fontId="10" fillId="0" borderId="14" xfId="0" applyFont="1" applyFill="1" applyBorder="1" applyAlignment="1">
      <alignment horizontal="center"/>
    </xf>
    <xf numFmtId="0" fontId="10" fillId="0" borderId="14" xfId="0" applyFont="1" applyFill="1" applyBorder="1" applyAlignment="1">
      <alignment horizontal="centerContinuous"/>
    </xf>
    <xf numFmtId="0" fontId="0" fillId="0" borderId="0" xfId="0" applyAlignment="1">
      <alignment horizontal="center" vertical="center"/>
    </xf>
    <xf numFmtId="0" fontId="0" fillId="0" borderId="1" xfId="0" pivotButton="1" applyBorder="1" applyAlignment="1">
      <alignment horizontal="center" vertical="center"/>
    </xf>
    <xf numFmtId="0" fontId="0" fillId="0" borderId="3" xfId="0" pivotButton="1" applyBorder="1" applyAlignment="1">
      <alignment horizontal="center" vertical="center"/>
    </xf>
    <xf numFmtId="0" fontId="0" fillId="0" borderId="3" xfId="0" applyBorder="1" applyAlignment="1">
      <alignment horizontal="center" vertical="center"/>
    </xf>
    <xf numFmtId="0"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0" fillId="4" borderId="2" xfId="0" applyFill="1" applyBorder="1" applyAlignment="1">
      <alignment horizontal="center" vertical="center"/>
    </xf>
    <xf numFmtId="10"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Border="1" applyAlignment="1">
      <alignment horizontal="center" vertical="center"/>
    </xf>
    <xf numFmtId="0" fontId="11" fillId="9" borderId="1" xfId="0" applyFont="1" applyFill="1" applyBorder="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22" fontId="2" fillId="0" borderId="1" xfId="0" applyNumberFormat="1" applyFont="1" applyBorder="1" applyAlignment="1">
      <alignment horizont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4" borderId="9" xfId="0" applyFill="1" applyBorder="1" applyAlignment="1">
      <alignment horizontal="center" vertical="center"/>
    </xf>
    <xf numFmtId="0" fontId="0" fillId="4" borderId="4" xfId="0" applyFill="1" applyBorder="1" applyAlignment="1">
      <alignment horizontal="center" vertical="center"/>
    </xf>
    <xf numFmtId="0" fontId="0" fillId="2" borderId="1" xfId="0" applyFill="1" applyBorder="1" applyAlignment="1">
      <alignment horizontal="center" vertical="center"/>
    </xf>
  </cellXfs>
  <cellStyles count="2">
    <cellStyle name="Normal" xfId="0" builtinId="0"/>
    <cellStyle name="Percent" xfId="1" builtinId="5"/>
  </cellStyles>
  <dxfs count="139">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MYSclier" pivot="0" table="0" count="8" xr9:uid="{3B51F1B6-D1FB-4932-971F-C9BE2C81FB2F}"/>
  </tableStyles>
  <colors>
    <mruColors>
      <color rgb="FF00CC99"/>
      <color rgb="FF009999"/>
      <color rgb="FF008080"/>
      <color rgb="FF003366"/>
    </mruColors>
  </colors>
  <extLst>
    <ext xmlns:x14="http://schemas.microsoft.com/office/spreadsheetml/2009/9/main" uri="{46F421CA-312F-682f-3DD2-61675219B42D}">
      <x14:dxfs count="8">
        <dxf>
          <font>
            <color theme="1"/>
          </font>
          <fill>
            <patternFill>
              <bgColor rgb="FF00CC99"/>
            </patternFill>
          </fill>
        </dxf>
        <dxf>
          <font>
            <color theme="1"/>
          </font>
          <fill>
            <patternFill>
              <bgColor rgb="FF00CC99"/>
            </patternFill>
          </fill>
        </dxf>
        <dxf>
          <font>
            <color theme="1"/>
          </font>
          <fill>
            <patternFill>
              <bgColor rgb="FF00CC99"/>
            </patternFill>
          </fill>
        </dxf>
        <dxf>
          <font>
            <color theme="1"/>
          </font>
          <fill>
            <patternFill>
              <bgColor rgb="FF00CC99"/>
            </patternFill>
          </fill>
        </dxf>
        <dxf>
          <font>
            <color theme="0"/>
          </font>
          <fill>
            <patternFill>
              <bgColor rgb="FF003366"/>
            </patternFill>
          </fill>
        </dxf>
        <dxf>
          <font>
            <b/>
            <i val="0"/>
            <color theme="0"/>
          </font>
          <fill>
            <patternFill>
              <bgColor rgb="FF003366"/>
            </patternFill>
          </fill>
        </dxf>
        <dxf>
          <font>
            <color theme="0"/>
          </font>
          <fill>
            <patternFill>
              <bgColor rgb="FF008080"/>
            </patternFill>
          </fill>
        </dxf>
        <dxf>
          <font>
            <color theme="0"/>
          </font>
          <fill>
            <patternFill>
              <bgColor rgb="FF008080"/>
            </patternFill>
          </fill>
        </dxf>
      </x14:dxfs>
    </ext>
    <ext xmlns:x14="http://schemas.microsoft.com/office/spreadsheetml/2009/9/main" uri="{EB79DEF2-80B8-43e5-95BD-54CBDDF9020C}">
      <x14:slicerStyles defaultSlicerStyle="SlicerStyleLight1">
        <x14:slicerStyle name="MYScli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[Data_Intellitagnce.xlsx]Visualizations!PivotTable6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161717837168212E-16"/>
              <c:y val="-8.3682008368200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1.20663707397160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2041020465478132E-17"/>
              <c:y val="-3.61991122191480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51714030670027E-2"/>
          <c:y val="0.14504881450488144"/>
          <c:w val="0.94515981187630738"/>
          <c:h val="0.5175303923829605"/>
        </c:manualLayout>
      </c:layout>
      <c:barChart>
        <c:barDir val="col"/>
        <c:grouping val="clustered"/>
        <c:varyColors val="0"/>
        <c:ser>
          <c:idx val="0"/>
          <c:order val="0"/>
          <c:tx>
            <c:strRef>
              <c:f>Visualizations!$B$17</c:f>
              <c:strCache>
                <c:ptCount val="1"/>
                <c:pt idx="0">
                  <c:v>Total</c:v>
                </c:pt>
              </c:strCache>
            </c:strRef>
          </c:tx>
          <c:spPr>
            <a:solidFill>
              <a:schemeClr val="accent1"/>
            </a:solidFill>
            <a:ln>
              <a:noFill/>
            </a:ln>
            <a:effectLst/>
          </c:spPr>
          <c:invertIfNegative val="0"/>
          <c:dPt>
            <c:idx val="6"/>
            <c:invertIfNegative val="0"/>
            <c:bubble3D val="0"/>
            <c:spPr>
              <a:solidFill>
                <a:schemeClr val="accent1"/>
              </a:solidFill>
              <a:ln>
                <a:noFill/>
              </a:ln>
              <a:effectLst/>
            </c:spPr>
            <c:extLst>
              <c:ext xmlns:c16="http://schemas.microsoft.com/office/drawing/2014/chart" uri="{C3380CC4-5D6E-409C-BE32-E72D297353CC}">
                <c16:uniqueId val="{00000001-7408-4C32-AD5E-F6F16EB8E585}"/>
              </c:ext>
            </c:extLst>
          </c:dPt>
          <c:dLbls>
            <c:dLbl>
              <c:idx val="6"/>
              <c:layout>
                <c:manualLayout>
                  <c:x val="-1.1161717837168212E-16"/>
                  <c:y val="-8.3682008368200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08-4C32-AD5E-F6F16EB8E5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Visualizations!$A$18:$A$27</c:f>
              <c:strCache>
                <c:ptCount val="1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strCache>
            </c:strRef>
          </c:cat>
          <c:val>
            <c:numRef>
              <c:f>Visualizations!$B$18:$B$27</c:f>
              <c:numCache>
                <c:formatCode>General</c:formatCode>
                <c:ptCount val="10"/>
                <c:pt idx="0">
                  <c:v>15659.650000000001</c:v>
                </c:pt>
                <c:pt idx="1">
                  <c:v>11919.769999999999</c:v>
                </c:pt>
                <c:pt idx="2">
                  <c:v>10649.8</c:v>
                </c:pt>
                <c:pt idx="3">
                  <c:v>9799.73</c:v>
                </c:pt>
                <c:pt idx="4">
                  <c:v>8309.74</c:v>
                </c:pt>
                <c:pt idx="5">
                  <c:v>8269.7900000000009</c:v>
                </c:pt>
                <c:pt idx="6">
                  <c:v>8009.77</c:v>
                </c:pt>
                <c:pt idx="7">
                  <c:v>7309.7999999999993</c:v>
                </c:pt>
                <c:pt idx="8">
                  <c:v>6989.77</c:v>
                </c:pt>
                <c:pt idx="9">
                  <c:v>6949.84</c:v>
                </c:pt>
              </c:numCache>
            </c:numRef>
          </c:val>
          <c:extLst>
            <c:ext xmlns:c16="http://schemas.microsoft.com/office/drawing/2014/chart" uri="{C3380CC4-5D6E-409C-BE32-E72D297353CC}">
              <c16:uniqueId val="{00000000-C673-44A4-84B3-AD4D468A14D2}"/>
            </c:ext>
          </c:extLst>
        </c:ser>
        <c:dLbls>
          <c:showLegendKey val="0"/>
          <c:showVal val="0"/>
          <c:showCatName val="0"/>
          <c:showSerName val="0"/>
          <c:showPercent val="0"/>
          <c:showBubbleSize val="0"/>
        </c:dLbls>
        <c:gapWidth val="219"/>
        <c:overlap val="-27"/>
        <c:axId val="564266096"/>
        <c:axId val="564272816"/>
      </c:barChart>
      <c:catAx>
        <c:axId val="56426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64272816"/>
        <c:crosses val="autoZero"/>
        <c:auto val="1"/>
        <c:lblAlgn val="ctr"/>
        <c:lblOffset val="100"/>
        <c:noMultiLvlLbl val="0"/>
      </c:catAx>
      <c:valAx>
        <c:axId val="564272816"/>
        <c:scaling>
          <c:orientation val="minMax"/>
        </c:scaling>
        <c:delete val="1"/>
        <c:axPos val="l"/>
        <c:numFmt formatCode="General" sourceLinked="1"/>
        <c:majorTickMark val="none"/>
        <c:minorTickMark val="none"/>
        <c:tickLblPos val="nextTo"/>
        <c:crossAx val="56426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[Data_Intellitagnce.xlsx]Visualizations!PivotTable10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1.7840473868258915E-2"/>
          <c:y val="0.13168226613182787"/>
          <c:w val="0.58459230360555381"/>
          <c:h val="0.86831773386817213"/>
        </c:manualLayout>
      </c:layout>
      <c:pieChart>
        <c:varyColors val="1"/>
        <c:ser>
          <c:idx val="0"/>
          <c:order val="0"/>
          <c:tx>
            <c:strRef>
              <c:f>Visualizations!$L$4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DF-438B-B097-AA468A9F25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DF-438B-B097-AA468A9F25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DF-438B-B097-AA468A9F25E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Visualizations!$K$5:$K$7</c:f>
              <c:strCache>
                <c:ptCount val="3"/>
                <c:pt idx="0">
                  <c:v>Basic</c:v>
                </c:pt>
                <c:pt idx="1">
                  <c:v>Premium</c:v>
                </c:pt>
                <c:pt idx="2">
                  <c:v>Standard</c:v>
                </c:pt>
              </c:strCache>
            </c:strRef>
          </c:cat>
          <c:val>
            <c:numRef>
              <c:f>Visualizations!$L$5:$L$7</c:f>
              <c:numCache>
                <c:formatCode>0.00%</c:formatCode>
                <c:ptCount val="3"/>
                <c:pt idx="0">
                  <c:v>0.29599999999999999</c:v>
                </c:pt>
                <c:pt idx="1">
                  <c:v>0.38</c:v>
                </c:pt>
                <c:pt idx="2">
                  <c:v>0.32400000000000001</c:v>
                </c:pt>
              </c:numCache>
            </c:numRef>
          </c:val>
          <c:extLst>
            <c:ext xmlns:c16="http://schemas.microsoft.com/office/drawing/2014/chart" uri="{C3380CC4-5D6E-409C-BE32-E72D297353CC}">
              <c16:uniqueId val="{00000006-A12A-4112-A28F-FEFC9D020C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[Data_Intellitagnce.xlsx]Visualizations!PivotTable7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Visualizations!$D$5:$D$14</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Visualizations!$E$5:$E$14</c:f>
              <c:numCache>
                <c:formatCode>General</c:formatCode>
                <c:ptCount val="10"/>
                <c:pt idx="0">
                  <c:v>67499.249999999985</c:v>
                </c:pt>
                <c:pt idx="1">
                  <c:v>67199.039999999994</c:v>
                </c:pt>
                <c:pt idx="2">
                  <c:v>23399.22</c:v>
                </c:pt>
                <c:pt idx="3">
                  <c:v>21999.120000000003</c:v>
                </c:pt>
                <c:pt idx="4">
                  <c:v>15298.979999999998</c:v>
                </c:pt>
                <c:pt idx="5">
                  <c:v>10399.48</c:v>
                </c:pt>
                <c:pt idx="6">
                  <c:v>8009.1099999999951</c:v>
                </c:pt>
                <c:pt idx="7">
                  <c:v>7049.53</c:v>
                </c:pt>
                <c:pt idx="8">
                  <c:v>5219.1299999999992</c:v>
                </c:pt>
                <c:pt idx="9">
                  <c:v>3119.6099999999992</c:v>
                </c:pt>
              </c:numCache>
            </c:numRef>
          </c:val>
          <c:extLst>
            <c:ext xmlns:c16="http://schemas.microsoft.com/office/drawing/2014/chart" uri="{C3380CC4-5D6E-409C-BE32-E72D297353CC}">
              <c16:uniqueId val="{00000000-0C20-4F20-9354-A522E86728EE}"/>
            </c:ext>
          </c:extLst>
        </c:ser>
        <c:dLbls>
          <c:showLegendKey val="0"/>
          <c:showVal val="0"/>
          <c:showCatName val="0"/>
          <c:showSerName val="0"/>
          <c:showPercent val="0"/>
          <c:showBubbleSize val="0"/>
        </c:dLbls>
        <c:gapWidth val="182"/>
        <c:axId val="528970288"/>
        <c:axId val="528967408"/>
      </c:barChart>
      <c:catAx>
        <c:axId val="52897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8967408"/>
        <c:crosses val="autoZero"/>
        <c:auto val="1"/>
        <c:lblAlgn val="ctr"/>
        <c:lblOffset val="100"/>
        <c:noMultiLvlLbl val="0"/>
      </c:catAx>
      <c:valAx>
        <c:axId val="528967408"/>
        <c:scaling>
          <c:orientation val="minMax"/>
        </c:scaling>
        <c:delete val="1"/>
        <c:axPos val="b"/>
        <c:numFmt formatCode="General" sourceLinked="1"/>
        <c:majorTickMark val="none"/>
        <c:minorTickMark val="none"/>
        <c:tickLblPos val="nextTo"/>
        <c:crossAx val="52897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[Data_Intellitagnce.xlsx]Visualizations!PivotTable9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Visualizations!$I$4</c:f>
              <c:strCache>
                <c:ptCount val="1"/>
                <c:pt idx="0">
                  <c:v>Total</c:v>
                </c:pt>
              </c:strCache>
            </c:strRef>
          </c:tx>
          <c:spPr>
            <a:ln w="28575" cap="rnd">
              <a:solidFill>
                <a:schemeClr val="accent1"/>
              </a:solidFill>
              <a:round/>
            </a:ln>
            <a:effectLst>
              <a:softEdge rad="0"/>
            </a:effectLst>
          </c:spPr>
          <c:marker>
            <c:symbol val="none"/>
          </c:marker>
          <c:cat>
            <c:strRef>
              <c:f>Visualizations!$H$5:$H$166</c:f>
              <c:strCache>
                <c:ptCount val="162"/>
                <c:pt idx="0">
                  <c:v>11-04</c:v>
                </c:pt>
                <c:pt idx="1">
                  <c:v>14-04</c:v>
                </c:pt>
                <c:pt idx="2">
                  <c:v>17-04</c:v>
                </c:pt>
                <c:pt idx="3">
                  <c:v>18-04</c:v>
                </c:pt>
                <c:pt idx="4">
                  <c:v>21-04</c:v>
                </c:pt>
                <c:pt idx="5">
                  <c:v>23-04</c:v>
                </c:pt>
                <c:pt idx="6">
                  <c:v>26-04</c:v>
                </c:pt>
                <c:pt idx="7">
                  <c:v>27-04</c:v>
                </c:pt>
                <c:pt idx="8">
                  <c:v>28-04</c:v>
                </c:pt>
                <c:pt idx="9">
                  <c:v>30-04</c:v>
                </c:pt>
                <c:pt idx="10">
                  <c:v>01-05</c:v>
                </c:pt>
                <c:pt idx="11">
                  <c:v>03-05</c:v>
                </c:pt>
                <c:pt idx="12">
                  <c:v>04-05</c:v>
                </c:pt>
                <c:pt idx="13">
                  <c:v>10-05</c:v>
                </c:pt>
                <c:pt idx="14">
                  <c:v>12-05</c:v>
                </c:pt>
                <c:pt idx="15">
                  <c:v>13-05</c:v>
                </c:pt>
                <c:pt idx="16">
                  <c:v>15-05</c:v>
                </c:pt>
                <c:pt idx="17">
                  <c:v>16-05</c:v>
                </c:pt>
                <c:pt idx="18">
                  <c:v>18-05</c:v>
                </c:pt>
                <c:pt idx="19">
                  <c:v>20-05</c:v>
                </c:pt>
                <c:pt idx="20">
                  <c:v>22-05</c:v>
                </c:pt>
                <c:pt idx="21">
                  <c:v>23-05</c:v>
                </c:pt>
                <c:pt idx="22">
                  <c:v>26-05</c:v>
                </c:pt>
                <c:pt idx="23">
                  <c:v>28-05</c:v>
                </c:pt>
                <c:pt idx="24">
                  <c:v>29-05</c:v>
                </c:pt>
                <c:pt idx="25">
                  <c:v>31-05</c:v>
                </c:pt>
                <c:pt idx="26">
                  <c:v>01-06</c:v>
                </c:pt>
                <c:pt idx="27">
                  <c:v>03-06</c:v>
                </c:pt>
                <c:pt idx="28">
                  <c:v>06-06</c:v>
                </c:pt>
                <c:pt idx="29">
                  <c:v>07-06</c:v>
                </c:pt>
                <c:pt idx="30">
                  <c:v>09-06</c:v>
                </c:pt>
                <c:pt idx="31">
                  <c:v>13-06</c:v>
                </c:pt>
                <c:pt idx="32">
                  <c:v>16-06</c:v>
                </c:pt>
                <c:pt idx="33">
                  <c:v>17-06</c:v>
                </c:pt>
                <c:pt idx="34">
                  <c:v>25-06</c:v>
                </c:pt>
                <c:pt idx="35">
                  <c:v>26-06</c:v>
                </c:pt>
                <c:pt idx="36">
                  <c:v>28-06</c:v>
                </c:pt>
                <c:pt idx="37">
                  <c:v>29-06</c:v>
                </c:pt>
                <c:pt idx="38">
                  <c:v>01-07</c:v>
                </c:pt>
                <c:pt idx="39">
                  <c:v>02-07</c:v>
                </c:pt>
                <c:pt idx="40">
                  <c:v>03-07</c:v>
                </c:pt>
                <c:pt idx="41">
                  <c:v>08-07</c:v>
                </c:pt>
                <c:pt idx="42">
                  <c:v>09-07</c:v>
                </c:pt>
                <c:pt idx="43">
                  <c:v>11-07</c:v>
                </c:pt>
                <c:pt idx="44">
                  <c:v>14-07</c:v>
                </c:pt>
                <c:pt idx="45">
                  <c:v>17-07</c:v>
                </c:pt>
                <c:pt idx="46">
                  <c:v>18-07</c:v>
                </c:pt>
                <c:pt idx="47">
                  <c:v>23-07</c:v>
                </c:pt>
                <c:pt idx="48">
                  <c:v>24-07</c:v>
                </c:pt>
                <c:pt idx="49">
                  <c:v>25-07</c:v>
                </c:pt>
                <c:pt idx="50">
                  <c:v>27-07</c:v>
                </c:pt>
                <c:pt idx="51">
                  <c:v>28-07</c:v>
                </c:pt>
                <c:pt idx="52">
                  <c:v>30-07</c:v>
                </c:pt>
                <c:pt idx="53">
                  <c:v>31-07</c:v>
                </c:pt>
                <c:pt idx="54">
                  <c:v>05-08</c:v>
                </c:pt>
                <c:pt idx="55">
                  <c:v>06-08</c:v>
                </c:pt>
                <c:pt idx="56">
                  <c:v>09-08</c:v>
                </c:pt>
                <c:pt idx="57">
                  <c:v>11-08</c:v>
                </c:pt>
                <c:pt idx="58">
                  <c:v>13-08</c:v>
                </c:pt>
                <c:pt idx="59">
                  <c:v>15-08</c:v>
                </c:pt>
                <c:pt idx="60">
                  <c:v>18-08</c:v>
                </c:pt>
                <c:pt idx="61">
                  <c:v>19-08</c:v>
                </c:pt>
                <c:pt idx="62">
                  <c:v>22-08</c:v>
                </c:pt>
                <c:pt idx="63">
                  <c:v>24-08</c:v>
                </c:pt>
                <c:pt idx="64">
                  <c:v>28-08</c:v>
                </c:pt>
                <c:pt idx="65">
                  <c:v>30-08</c:v>
                </c:pt>
                <c:pt idx="66">
                  <c:v>02-09</c:v>
                </c:pt>
                <c:pt idx="67">
                  <c:v>03-09</c:v>
                </c:pt>
                <c:pt idx="68">
                  <c:v>06-09</c:v>
                </c:pt>
                <c:pt idx="69">
                  <c:v>09-09</c:v>
                </c:pt>
                <c:pt idx="70">
                  <c:v>10-09</c:v>
                </c:pt>
                <c:pt idx="71">
                  <c:v>12-09</c:v>
                </c:pt>
                <c:pt idx="72">
                  <c:v>13-09</c:v>
                </c:pt>
                <c:pt idx="73">
                  <c:v>15-09</c:v>
                </c:pt>
                <c:pt idx="74">
                  <c:v>16-09</c:v>
                </c:pt>
                <c:pt idx="75">
                  <c:v>19-09</c:v>
                </c:pt>
                <c:pt idx="76">
                  <c:v>24-09</c:v>
                </c:pt>
                <c:pt idx="77">
                  <c:v>25-09</c:v>
                </c:pt>
                <c:pt idx="78">
                  <c:v>28-09</c:v>
                </c:pt>
                <c:pt idx="79">
                  <c:v>29-09</c:v>
                </c:pt>
                <c:pt idx="80">
                  <c:v>01-10</c:v>
                </c:pt>
                <c:pt idx="81">
                  <c:v>07-10</c:v>
                </c:pt>
                <c:pt idx="82">
                  <c:v>08-10</c:v>
                </c:pt>
                <c:pt idx="83">
                  <c:v>11-10</c:v>
                </c:pt>
                <c:pt idx="84">
                  <c:v>14-10</c:v>
                </c:pt>
                <c:pt idx="85">
                  <c:v>16-10</c:v>
                </c:pt>
                <c:pt idx="86">
                  <c:v>18-10</c:v>
                </c:pt>
                <c:pt idx="87">
                  <c:v>21-10</c:v>
                </c:pt>
                <c:pt idx="88">
                  <c:v>23-10</c:v>
                </c:pt>
                <c:pt idx="89">
                  <c:v>24-10</c:v>
                </c:pt>
                <c:pt idx="90">
                  <c:v>27-10</c:v>
                </c:pt>
                <c:pt idx="91">
                  <c:v>01-11</c:v>
                </c:pt>
                <c:pt idx="92">
                  <c:v>04-11</c:v>
                </c:pt>
                <c:pt idx="93">
                  <c:v>07-11</c:v>
                </c:pt>
                <c:pt idx="94">
                  <c:v>08-11</c:v>
                </c:pt>
                <c:pt idx="95">
                  <c:v>09-11</c:v>
                </c:pt>
                <c:pt idx="96">
                  <c:v>11-11</c:v>
                </c:pt>
                <c:pt idx="97">
                  <c:v>12-11</c:v>
                </c:pt>
                <c:pt idx="98">
                  <c:v>17-11</c:v>
                </c:pt>
                <c:pt idx="99">
                  <c:v>21-11</c:v>
                </c:pt>
                <c:pt idx="100">
                  <c:v>23-11</c:v>
                </c:pt>
                <c:pt idx="101">
                  <c:v>26-11</c:v>
                </c:pt>
                <c:pt idx="102">
                  <c:v>27-11</c:v>
                </c:pt>
                <c:pt idx="103">
                  <c:v>01-12</c:v>
                </c:pt>
                <c:pt idx="104">
                  <c:v>03-12</c:v>
                </c:pt>
                <c:pt idx="105">
                  <c:v>04-12</c:v>
                </c:pt>
                <c:pt idx="106">
                  <c:v>09-12</c:v>
                </c:pt>
                <c:pt idx="107">
                  <c:v>10-12</c:v>
                </c:pt>
                <c:pt idx="108">
                  <c:v>12-12</c:v>
                </c:pt>
                <c:pt idx="109">
                  <c:v>15-12</c:v>
                </c:pt>
                <c:pt idx="110">
                  <c:v>18-12</c:v>
                </c:pt>
                <c:pt idx="111">
                  <c:v>19-12</c:v>
                </c:pt>
                <c:pt idx="112">
                  <c:v>20-12</c:v>
                </c:pt>
                <c:pt idx="113">
                  <c:v>22-12</c:v>
                </c:pt>
                <c:pt idx="114">
                  <c:v>23-12</c:v>
                </c:pt>
                <c:pt idx="115">
                  <c:v>28-12</c:v>
                </c:pt>
                <c:pt idx="116">
                  <c:v>29-12</c:v>
                </c:pt>
                <c:pt idx="117">
                  <c:v>31-12</c:v>
                </c:pt>
                <c:pt idx="118">
                  <c:v>03-01</c:v>
                </c:pt>
                <c:pt idx="119">
                  <c:v>04-01</c:v>
                </c:pt>
                <c:pt idx="120">
                  <c:v>06-01</c:v>
                </c:pt>
                <c:pt idx="121">
                  <c:v>09-01</c:v>
                </c:pt>
                <c:pt idx="122">
                  <c:v>10-01</c:v>
                </c:pt>
                <c:pt idx="123">
                  <c:v>11-01</c:v>
                </c:pt>
                <c:pt idx="124">
                  <c:v>13-01</c:v>
                </c:pt>
                <c:pt idx="125">
                  <c:v>14-01</c:v>
                </c:pt>
                <c:pt idx="126">
                  <c:v>16-01</c:v>
                </c:pt>
                <c:pt idx="127">
                  <c:v>19-01</c:v>
                </c:pt>
                <c:pt idx="128">
                  <c:v>25-01</c:v>
                </c:pt>
                <c:pt idx="129">
                  <c:v>26-01</c:v>
                </c:pt>
                <c:pt idx="130">
                  <c:v>29-01</c:v>
                </c:pt>
                <c:pt idx="131">
                  <c:v>31-01</c:v>
                </c:pt>
                <c:pt idx="132">
                  <c:v>04-02</c:v>
                </c:pt>
                <c:pt idx="133">
                  <c:v>07-02</c:v>
                </c:pt>
                <c:pt idx="134">
                  <c:v>08-02</c:v>
                </c:pt>
                <c:pt idx="135">
                  <c:v>13-02</c:v>
                </c:pt>
                <c:pt idx="136">
                  <c:v>16-02</c:v>
                </c:pt>
                <c:pt idx="137">
                  <c:v>17-02</c:v>
                </c:pt>
                <c:pt idx="138">
                  <c:v>19-02</c:v>
                </c:pt>
                <c:pt idx="139">
                  <c:v>20-02</c:v>
                </c:pt>
                <c:pt idx="140">
                  <c:v>22-02</c:v>
                </c:pt>
                <c:pt idx="141">
                  <c:v>23-02</c:v>
                </c:pt>
                <c:pt idx="142">
                  <c:v>24-02</c:v>
                </c:pt>
                <c:pt idx="143">
                  <c:v>27-02</c:v>
                </c:pt>
                <c:pt idx="144">
                  <c:v>02-03</c:v>
                </c:pt>
                <c:pt idx="145">
                  <c:v>04-03</c:v>
                </c:pt>
                <c:pt idx="146">
                  <c:v>05-03</c:v>
                </c:pt>
                <c:pt idx="147">
                  <c:v>07-03</c:v>
                </c:pt>
                <c:pt idx="148">
                  <c:v>08-03</c:v>
                </c:pt>
                <c:pt idx="149">
                  <c:v>10-03</c:v>
                </c:pt>
                <c:pt idx="150">
                  <c:v>18-03</c:v>
                </c:pt>
                <c:pt idx="151">
                  <c:v>21-03</c:v>
                </c:pt>
                <c:pt idx="152">
                  <c:v>23-03</c:v>
                </c:pt>
                <c:pt idx="153">
                  <c:v>24-03</c:v>
                </c:pt>
                <c:pt idx="154">
                  <c:v>27-03</c:v>
                </c:pt>
                <c:pt idx="155">
                  <c:v>29-03</c:v>
                </c:pt>
                <c:pt idx="156">
                  <c:v>30-03</c:v>
                </c:pt>
                <c:pt idx="157">
                  <c:v>01-04</c:v>
                </c:pt>
                <c:pt idx="158">
                  <c:v>02-04</c:v>
                </c:pt>
                <c:pt idx="159">
                  <c:v>08-04</c:v>
                </c:pt>
                <c:pt idx="160">
                  <c:v>09-04</c:v>
                </c:pt>
                <c:pt idx="161">
                  <c:v>11-04</c:v>
                </c:pt>
              </c:strCache>
            </c:strRef>
          </c:cat>
          <c:val>
            <c:numRef>
              <c:f>Visualizations!$I$5:$I$166</c:f>
              <c:numCache>
                <c:formatCode>General</c:formatCode>
                <c:ptCount val="162"/>
                <c:pt idx="0">
                  <c:v>1</c:v>
                </c:pt>
                <c:pt idx="1">
                  <c:v>1</c:v>
                </c:pt>
                <c:pt idx="2">
                  <c:v>1</c:v>
                </c:pt>
                <c:pt idx="3">
                  <c:v>2</c:v>
                </c:pt>
                <c:pt idx="4">
                  <c:v>3</c:v>
                </c:pt>
                <c:pt idx="5">
                  <c:v>1</c:v>
                </c:pt>
                <c:pt idx="6">
                  <c:v>4</c:v>
                </c:pt>
                <c:pt idx="7">
                  <c:v>3</c:v>
                </c:pt>
                <c:pt idx="8">
                  <c:v>4</c:v>
                </c:pt>
                <c:pt idx="9">
                  <c:v>1</c:v>
                </c:pt>
                <c:pt idx="10">
                  <c:v>1</c:v>
                </c:pt>
                <c:pt idx="11">
                  <c:v>1</c:v>
                </c:pt>
                <c:pt idx="12">
                  <c:v>1</c:v>
                </c:pt>
                <c:pt idx="13">
                  <c:v>1</c:v>
                </c:pt>
                <c:pt idx="14">
                  <c:v>3</c:v>
                </c:pt>
                <c:pt idx="15">
                  <c:v>1</c:v>
                </c:pt>
                <c:pt idx="16">
                  <c:v>2</c:v>
                </c:pt>
                <c:pt idx="17">
                  <c:v>1</c:v>
                </c:pt>
                <c:pt idx="18">
                  <c:v>1</c:v>
                </c:pt>
                <c:pt idx="19">
                  <c:v>1</c:v>
                </c:pt>
                <c:pt idx="20">
                  <c:v>1</c:v>
                </c:pt>
                <c:pt idx="21">
                  <c:v>1</c:v>
                </c:pt>
                <c:pt idx="22">
                  <c:v>1</c:v>
                </c:pt>
                <c:pt idx="23">
                  <c:v>1</c:v>
                </c:pt>
                <c:pt idx="24">
                  <c:v>1</c:v>
                </c:pt>
                <c:pt idx="25">
                  <c:v>1</c:v>
                </c:pt>
                <c:pt idx="26">
                  <c:v>2</c:v>
                </c:pt>
                <c:pt idx="27">
                  <c:v>1</c:v>
                </c:pt>
                <c:pt idx="28">
                  <c:v>2</c:v>
                </c:pt>
                <c:pt idx="29">
                  <c:v>1</c:v>
                </c:pt>
                <c:pt idx="30">
                  <c:v>1</c:v>
                </c:pt>
                <c:pt idx="31">
                  <c:v>1</c:v>
                </c:pt>
                <c:pt idx="32">
                  <c:v>3</c:v>
                </c:pt>
                <c:pt idx="33">
                  <c:v>2</c:v>
                </c:pt>
                <c:pt idx="34">
                  <c:v>1</c:v>
                </c:pt>
                <c:pt idx="35">
                  <c:v>2</c:v>
                </c:pt>
                <c:pt idx="36">
                  <c:v>2</c:v>
                </c:pt>
                <c:pt idx="37">
                  <c:v>1</c:v>
                </c:pt>
                <c:pt idx="38">
                  <c:v>1</c:v>
                </c:pt>
                <c:pt idx="39">
                  <c:v>1</c:v>
                </c:pt>
                <c:pt idx="40">
                  <c:v>2</c:v>
                </c:pt>
                <c:pt idx="41">
                  <c:v>3</c:v>
                </c:pt>
                <c:pt idx="42">
                  <c:v>1</c:v>
                </c:pt>
                <c:pt idx="43">
                  <c:v>2</c:v>
                </c:pt>
                <c:pt idx="44">
                  <c:v>1</c:v>
                </c:pt>
                <c:pt idx="45">
                  <c:v>2</c:v>
                </c:pt>
                <c:pt idx="46">
                  <c:v>1</c:v>
                </c:pt>
                <c:pt idx="47">
                  <c:v>1</c:v>
                </c:pt>
                <c:pt idx="48">
                  <c:v>1</c:v>
                </c:pt>
                <c:pt idx="49">
                  <c:v>2</c:v>
                </c:pt>
                <c:pt idx="50">
                  <c:v>2</c:v>
                </c:pt>
                <c:pt idx="51">
                  <c:v>2</c:v>
                </c:pt>
                <c:pt idx="52">
                  <c:v>1</c:v>
                </c:pt>
                <c:pt idx="53">
                  <c:v>1</c:v>
                </c:pt>
                <c:pt idx="54">
                  <c:v>1</c:v>
                </c:pt>
                <c:pt idx="55">
                  <c:v>1</c:v>
                </c:pt>
                <c:pt idx="56">
                  <c:v>1</c:v>
                </c:pt>
                <c:pt idx="57">
                  <c:v>1</c:v>
                </c:pt>
                <c:pt idx="58">
                  <c:v>4</c:v>
                </c:pt>
                <c:pt idx="59">
                  <c:v>1</c:v>
                </c:pt>
                <c:pt idx="60">
                  <c:v>1</c:v>
                </c:pt>
                <c:pt idx="61">
                  <c:v>2</c:v>
                </c:pt>
                <c:pt idx="62">
                  <c:v>1</c:v>
                </c:pt>
                <c:pt idx="63">
                  <c:v>2</c:v>
                </c:pt>
                <c:pt idx="64">
                  <c:v>2</c:v>
                </c:pt>
                <c:pt idx="65">
                  <c:v>1</c:v>
                </c:pt>
                <c:pt idx="66">
                  <c:v>2</c:v>
                </c:pt>
                <c:pt idx="67">
                  <c:v>1</c:v>
                </c:pt>
                <c:pt idx="68">
                  <c:v>1</c:v>
                </c:pt>
                <c:pt idx="69">
                  <c:v>2</c:v>
                </c:pt>
                <c:pt idx="70">
                  <c:v>1</c:v>
                </c:pt>
                <c:pt idx="71">
                  <c:v>1</c:v>
                </c:pt>
                <c:pt idx="72">
                  <c:v>1</c:v>
                </c:pt>
                <c:pt idx="73">
                  <c:v>1</c:v>
                </c:pt>
                <c:pt idx="74">
                  <c:v>2</c:v>
                </c:pt>
                <c:pt idx="75">
                  <c:v>3</c:v>
                </c:pt>
                <c:pt idx="76">
                  <c:v>1</c:v>
                </c:pt>
                <c:pt idx="77">
                  <c:v>1</c:v>
                </c:pt>
                <c:pt idx="78">
                  <c:v>1</c:v>
                </c:pt>
                <c:pt idx="79">
                  <c:v>1</c:v>
                </c:pt>
                <c:pt idx="80">
                  <c:v>1</c:v>
                </c:pt>
                <c:pt idx="81">
                  <c:v>2</c:v>
                </c:pt>
                <c:pt idx="82">
                  <c:v>2</c:v>
                </c:pt>
                <c:pt idx="83">
                  <c:v>1</c:v>
                </c:pt>
                <c:pt idx="84">
                  <c:v>1</c:v>
                </c:pt>
                <c:pt idx="85">
                  <c:v>3</c:v>
                </c:pt>
                <c:pt idx="86">
                  <c:v>1</c:v>
                </c:pt>
                <c:pt idx="87">
                  <c:v>1</c:v>
                </c:pt>
                <c:pt idx="88">
                  <c:v>2</c:v>
                </c:pt>
                <c:pt idx="89">
                  <c:v>1</c:v>
                </c:pt>
                <c:pt idx="90">
                  <c:v>1</c:v>
                </c:pt>
                <c:pt idx="91">
                  <c:v>1</c:v>
                </c:pt>
                <c:pt idx="92">
                  <c:v>1</c:v>
                </c:pt>
                <c:pt idx="93">
                  <c:v>1</c:v>
                </c:pt>
                <c:pt idx="94">
                  <c:v>1</c:v>
                </c:pt>
                <c:pt idx="95">
                  <c:v>1</c:v>
                </c:pt>
                <c:pt idx="96">
                  <c:v>3</c:v>
                </c:pt>
                <c:pt idx="97">
                  <c:v>2</c:v>
                </c:pt>
                <c:pt idx="98">
                  <c:v>2</c:v>
                </c:pt>
                <c:pt idx="99">
                  <c:v>1</c:v>
                </c:pt>
                <c:pt idx="100">
                  <c:v>2</c:v>
                </c:pt>
                <c:pt idx="101">
                  <c:v>1</c:v>
                </c:pt>
                <c:pt idx="102">
                  <c:v>1</c:v>
                </c:pt>
                <c:pt idx="103">
                  <c:v>4</c:v>
                </c:pt>
                <c:pt idx="104">
                  <c:v>1</c:v>
                </c:pt>
                <c:pt idx="105">
                  <c:v>1</c:v>
                </c:pt>
                <c:pt idx="106">
                  <c:v>3</c:v>
                </c:pt>
                <c:pt idx="107">
                  <c:v>1</c:v>
                </c:pt>
                <c:pt idx="108">
                  <c:v>1</c:v>
                </c:pt>
                <c:pt idx="109">
                  <c:v>2</c:v>
                </c:pt>
                <c:pt idx="110">
                  <c:v>1</c:v>
                </c:pt>
                <c:pt idx="111">
                  <c:v>2</c:v>
                </c:pt>
                <c:pt idx="112">
                  <c:v>1</c:v>
                </c:pt>
                <c:pt idx="113">
                  <c:v>2</c:v>
                </c:pt>
                <c:pt idx="114">
                  <c:v>1</c:v>
                </c:pt>
                <c:pt idx="115">
                  <c:v>2</c:v>
                </c:pt>
                <c:pt idx="116">
                  <c:v>2</c:v>
                </c:pt>
                <c:pt idx="117">
                  <c:v>1</c:v>
                </c:pt>
                <c:pt idx="118">
                  <c:v>1</c:v>
                </c:pt>
                <c:pt idx="119">
                  <c:v>1</c:v>
                </c:pt>
                <c:pt idx="120">
                  <c:v>2</c:v>
                </c:pt>
                <c:pt idx="121">
                  <c:v>1</c:v>
                </c:pt>
                <c:pt idx="122">
                  <c:v>2</c:v>
                </c:pt>
                <c:pt idx="123">
                  <c:v>2</c:v>
                </c:pt>
                <c:pt idx="124">
                  <c:v>2</c:v>
                </c:pt>
                <c:pt idx="125">
                  <c:v>3</c:v>
                </c:pt>
                <c:pt idx="126">
                  <c:v>3</c:v>
                </c:pt>
                <c:pt idx="127">
                  <c:v>1</c:v>
                </c:pt>
                <c:pt idx="128">
                  <c:v>1</c:v>
                </c:pt>
                <c:pt idx="129">
                  <c:v>1</c:v>
                </c:pt>
                <c:pt idx="130">
                  <c:v>3</c:v>
                </c:pt>
                <c:pt idx="131">
                  <c:v>3</c:v>
                </c:pt>
                <c:pt idx="132">
                  <c:v>1</c:v>
                </c:pt>
                <c:pt idx="133">
                  <c:v>2</c:v>
                </c:pt>
                <c:pt idx="134">
                  <c:v>1</c:v>
                </c:pt>
                <c:pt idx="135">
                  <c:v>1</c:v>
                </c:pt>
                <c:pt idx="136">
                  <c:v>2</c:v>
                </c:pt>
                <c:pt idx="137">
                  <c:v>1</c:v>
                </c:pt>
                <c:pt idx="138">
                  <c:v>2</c:v>
                </c:pt>
                <c:pt idx="139">
                  <c:v>2</c:v>
                </c:pt>
                <c:pt idx="140">
                  <c:v>2</c:v>
                </c:pt>
                <c:pt idx="141">
                  <c:v>3</c:v>
                </c:pt>
                <c:pt idx="142">
                  <c:v>1</c:v>
                </c:pt>
                <c:pt idx="143">
                  <c:v>2</c:v>
                </c:pt>
                <c:pt idx="144">
                  <c:v>1</c:v>
                </c:pt>
                <c:pt idx="145">
                  <c:v>1</c:v>
                </c:pt>
                <c:pt idx="146">
                  <c:v>1</c:v>
                </c:pt>
                <c:pt idx="147">
                  <c:v>2</c:v>
                </c:pt>
                <c:pt idx="148">
                  <c:v>3</c:v>
                </c:pt>
                <c:pt idx="149">
                  <c:v>1</c:v>
                </c:pt>
                <c:pt idx="150">
                  <c:v>1</c:v>
                </c:pt>
                <c:pt idx="151">
                  <c:v>3</c:v>
                </c:pt>
                <c:pt idx="152">
                  <c:v>1</c:v>
                </c:pt>
                <c:pt idx="153">
                  <c:v>1</c:v>
                </c:pt>
                <c:pt idx="154">
                  <c:v>1</c:v>
                </c:pt>
                <c:pt idx="155">
                  <c:v>1</c:v>
                </c:pt>
                <c:pt idx="156">
                  <c:v>2</c:v>
                </c:pt>
                <c:pt idx="157">
                  <c:v>1</c:v>
                </c:pt>
                <c:pt idx="158">
                  <c:v>1</c:v>
                </c:pt>
                <c:pt idx="159">
                  <c:v>1</c:v>
                </c:pt>
                <c:pt idx="160">
                  <c:v>1</c:v>
                </c:pt>
                <c:pt idx="161">
                  <c:v>3</c:v>
                </c:pt>
              </c:numCache>
            </c:numRef>
          </c:val>
          <c:smooth val="0"/>
          <c:extLst>
            <c:ext xmlns:c16="http://schemas.microsoft.com/office/drawing/2014/chart" uri="{C3380CC4-5D6E-409C-BE32-E72D297353CC}">
              <c16:uniqueId val="{00000000-BB2E-4D24-A11A-E3F7A2E9C66B}"/>
            </c:ext>
          </c:extLst>
        </c:ser>
        <c:dLbls>
          <c:showLegendKey val="0"/>
          <c:showVal val="0"/>
          <c:showCatName val="0"/>
          <c:showSerName val="0"/>
          <c:showPercent val="0"/>
          <c:showBubbleSize val="0"/>
        </c:dLbls>
        <c:smooth val="0"/>
        <c:axId val="820007792"/>
        <c:axId val="820015952"/>
      </c:lineChart>
      <c:catAx>
        <c:axId val="8200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820015952"/>
        <c:crosses val="autoZero"/>
        <c:auto val="1"/>
        <c:lblAlgn val="ctr"/>
        <c:lblOffset val="100"/>
        <c:noMultiLvlLbl val="0"/>
      </c:catAx>
      <c:valAx>
        <c:axId val="82001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000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[Data_Intellitagnce.xlsx]Visualizations!PivotTable8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5.3731326444524954E-2"/>
          <c:y val="7.8041074249605075E-2"/>
          <c:w val="0.58069633542638455"/>
          <c:h val="0.92195892575039495"/>
        </c:manualLayout>
      </c:layout>
      <c:pieChart>
        <c:varyColors val="1"/>
        <c:ser>
          <c:idx val="0"/>
          <c:order val="0"/>
          <c:tx>
            <c:strRef>
              <c:f>Visualizations!$E$18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49-4047-83FE-D5FBEF4E91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49-4047-83FE-D5FBEF4E91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49-4047-83FE-D5FBEF4E91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49-4047-83FE-D5FBEF4E91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Visualizations!$D$19:$D$22</c:f>
              <c:strCache>
                <c:ptCount val="4"/>
                <c:pt idx="0">
                  <c:v>Cash</c:v>
                </c:pt>
                <c:pt idx="1">
                  <c:v>Credit Card</c:v>
                </c:pt>
                <c:pt idx="2">
                  <c:v>Debit Card</c:v>
                </c:pt>
                <c:pt idx="3">
                  <c:v>PayPal</c:v>
                </c:pt>
              </c:strCache>
            </c:strRef>
          </c:cat>
          <c:val>
            <c:numRef>
              <c:f>Visualizations!$E$19:$E$22</c:f>
              <c:numCache>
                <c:formatCode>0.00%</c:formatCode>
                <c:ptCount val="4"/>
                <c:pt idx="0">
                  <c:v>0.30399999999999999</c:v>
                </c:pt>
                <c:pt idx="1">
                  <c:v>0.27200000000000002</c:v>
                </c:pt>
                <c:pt idx="2">
                  <c:v>0.216</c:v>
                </c:pt>
                <c:pt idx="3">
                  <c:v>0.20799999999999999</c:v>
                </c:pt>
              </c:numCache>
            </c:numRef>
          </c:val>
          <c:extLst>
            <c:ext xmlns:c16="http://schemas.microsoft.com/office/drawing/2014/chart" uri="{C3380CC4-5D6E-409C-BE32-E72D297353CC}">
              <c16:uniqueId val="{00000008-7E5A-4FF2-8BCE-961A7588BA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28575</xdr:colOff>
      <xdr:row>0</xdr:row>
      <xdr:rowOff>28575</xdr:rowOff>
    </xdr:from>
    <xdr:to>
      <xdr:col>1</xdr:col>
      <xdr:colOff>561975</xdr:colOff>
      <xdr:row>3</xdr:row>
      <xdr:rowOff>104774</xdr:rowOff>
    </xdr:to>
    <xdr:sp macro="" textlink="">
      <xdr:nvSpPr>
        <xdr:cNvPr id="2" name="Rectangle: Rounded Corners 1">
          <a:extLst>
            <a:ext uri="{FF2B5EF4-FFF2-40B4-BE49-F238E27FC236}">
              <a16:creationId xmlns:a16="http://schemas.microsoft.com/office/drawing/2014/main" id="{8626F43C-1A55-5D3F-2360-4214927A9F84}"/>
            </a:ext>
          </a:extLst>
        </xdr:cNvPr>
        <xdr:cNvSpPr/>
      </xdr:nvSpPr>
      <xdr:spPr>
        <a:xfrm>
          <a:off x="28575" y="28575"/>
          <a:ext cx="1143000" cy="647699"/>
        </a:xfrm>
        <a:prstGeom prst="roundRect">
          <a:avLst/>
        </a:prstGeom>
        <a:solidFill>
          <a:schemeClr val="bg1"/>
        </a:solidFill>
        <a:ln w="19050">
          <a:solidFill>
            <a:schemeClr val="tx1"/>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9525</xdr:colOff>
      <xdr:row>0</xdr:row>
      <xdr:rowOff>38100</xdr:rowOff>
    </xdr:from>
    <xdr:to>
      <xdr:col>14</xdr:col>
      <xdr:colOff>266700</xdr:colOff>
      <xdr:row>3</xdr:row>
      <xdr:rowOff>114299</xdr:rowOff>
    </xdr:to>
    <xdr:sp macro="" textlink="">
      <xdr:nvSpPr>
        <xdr:cNvPr id="3" name="Rectangle: Rounded Corners 2">
          <a:extLst>
            <a:ext uri="{FF2B5EF4-FFF2-40B4-BE49-F238E27FC236}">
              <a16:creationId xmlns:a16="http://schemas.microsoft.com/office/drawing/2014/main" id="{44D1382E-1705-7DB7-FBD3-A5623FAB9C22}"/>
            </a:ext>
          </a:extLst>
        </xdr:cNvPr>
        <xdr:cNvSpPr/>
      </xdr:nvSpPr>
      <xdr:spPr>
        <a:xfrm>
          <a:off x="1228725" y="38100"/>
          <a:ext cx="7572375" cy="647699"/>
        </a:xfrm>
        <a:prstGeom prst="roundRect">
          <a:avLst/>
        </a:prstGeom>
        <a:solidFill>
          <a:schemeClr val="bg1"/>
        </a:solidFill>
        <a:ln w="19050">
          <a:solidFill>
            <a:schemeClr val="tx1"/>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9524</xdr:colOff>
      <xdr:row>3</xdr:row>
      <xdr:rowOff>161925</xdr:rowOff>
    </xdr:from>
    <xdr:to>
      <xdr:col>1</xdr:col>
      <xdr:colOff>590549</xdr:colOff>
      <xdr:row>19</xdr:row>
      <xdr:rowOff>161925</xdr:rowOff>
    </xdr:to>
    <xdr:sp macro="" textlink="">
      <xdr:nvSpPr>
        <xdr:cNvPr id="4" name="Rectangle: Rounded Corners 3">
          <a:extLst>
            <a:ext uri="{FF2B5EF4-FFF2-40B4-BE49-F238E27FC236}">
              <a16:creationId xmlns:a16="http://schemas.microsoft.com/office/drawing/2014/main" id="{3D8B2F5E-7E53-7FC4-ED7B-275F7F8B1F9A}"/>
            </a:ext>
          </a:extLst>
        </xdr:cNvPr>
        <xdr:cNvSpPr/>
      </xdr:nvSpPr>
      <xdr:spPr>
        <a:xfrm>
          <a:off x="9524" y="733425"/>
          <a:ext cx="1190625" cy="3048000"/>
        </a:xfrm>
        <a:prstGeom prst="roundRect">
          <a:avLst>
            <a:gd name="adj" fmla="val 9887"/>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14</xdr:col>
      <xdr:colOff>323851</xdr:colOff>
      <xdr:row>0</xdr:row>
      <xdr:rowOff>57151</xdr:rowOff>
    </xdr:from>
    <xdr:to>
      <xdr:col>20</xdr:col>
      <xdr:colOff>152401</xdr:colOff>
      <xdr:row>6</xdr:row>
      <xdr:rowOff>142875</xdr:rowOff>
    </xdr:to>
    <xdr:sp macro="" textlink="">
      <xdr:nvSpPr>
        <xdr:cNvPr id="5" name="Rectangle: Rounded Corners 4">
          <a:extLst>
            <a:ext uri="{FF2B5EF4-FFF2-40B4-BE49-F238E27FC236}">
              <a16:creationId xmlns:a16="http://schemas.microsoft.com/office/drawing/2014/main" id="{A5DB34D8-76CB-F734-4332-FE1A4D3579C3}"/>
            </a:ext>
          </a:extLst>
        </xdr:cNvPr>
        <xdr:cNvSpPr/>
      </xdr:nvSpPr>
      <xdr:spPr>
        <a:xfrm>
          <a:off x="8858251" y="57151"/>
          <a:ext cx="3486150" cy="1228724"/>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38101</xdr:colOff>
      <xdr:row>3</xdr:row>
      <xdr:rowOff>152400</xdr:rowOff>
    </xdr:from>
    <xdr:to>
      <xdr:col>14</xdr:col>
      <xdr:colOff>228601</xdr:colOff>
      <xdr:row>6</xdr:row>
      <xdr:rowOff>180975</xdr:rowOff>
    </xdr:to>
    <xdr:grpSp>
      <xdr:nvGrpSpPr>
        <xdr:cNvPr id="47" name="Group 46">
          <a:extLst>
            <a:ext uri="{FF2B5EF4-FFF2-40B4-BE49-F238E27FC236}">
              <a16:creationId xmlns:a16="http://schemas.microsoft.com/office/drawing/2014/main" id="{F3E1C4BC-2EFB-B2B2-029D-0C173829665E}"/>
            </a:ext>
          </a:extLst>
        </xdr:cNvPr>
        <xdr:cNvGrpSpPr/>
      </xdr:nvGrpSpPr>
      <xdr:grpSpPr>
        <a:xfrm>
          <a:off x="1257301" y="723900"/>
          <a:ext cx="7505700" cy="600075"/>
          <a:chOff x="1304925" y="742950"/>
          <a:chExt cx="5305425" cy="600075"/>
        </a:xfrm>
      </xdr:grpSpPr>
      <xdr:sp macro="" textlink="">
        <xdr:nvSpPr>
          <xdr:cNvPr id="6" name="Rectangle: Rounded Corners 5">
            <a:extLst>
              <a:ext uri="{FF2B5EF4-FFF2-40B4-BE49-F238E27FC236}">
                <a16:creationId xmlns:a16="http://schemas.microsoft.com/office/drawing/2014/main" id="{D9274489-0929-EFC2-F8C2-55755D23BC9A}"/>
              </a:ext>
            </a:extLst>
          </xdr:cNvPr>
          <xdr:cNvSpPr/>
        </xdr:nvSpPr>
        <xdr:spPr>
          <a:xfrm>
            <a:off x="1304925" y="742950"/>
            <a:ext cx="1752600" cy="581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 name="Rectangle: Rounded Corners 6">
            <a:extLst>
              <a:ext uri="{FF2B5EF4-FFF2-40B4-BE49-F238E27FC236}">
                <a16:creationId xmlns:a16="http://schemas.microsoft.com/office/drawing/2014/main" id="{1A713E57-D07F-B13A-65F3-D5342D7EC6CD}"/>
              </a:ext>
            </a:extLst>
          </xdr:cNvPr>
          <xdr:cNvSpPr/>
        </xdr:nvSpPr>
        <xdr:spPr>
          <a:xfrm>
            <a:off x="3114164" y="752475"/>
            <a:ext cx="1695962" cy="581025"/>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6D69E1D8-3379-3E19-49EC-4D7098B3CC34}"/>
              </a:ext>
            </a:extLst>
          </xdr:cNvPr>
          <xdr:cNvSpPr/>
        </xdr:nvSpPr>
        <xdr:spPr>
          <a:xfrm>
            <a:off x="4864307" y="752476"/>
            <a:ext cx="1746043" cy="590549"/>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editAs="absolute">
    <xdr:from>
      <xdr:col>8</xdr:col>
      <xdr:colOff>176893</xdr:colOff>
      <xdr:row>7</xdr:row>
      <xdr:rowOff>95250</xdr:rowOff>
    </xdr:from>
    <xdr:to>
      <xdr:col>15</xdr:col>
      <xdr:colOff>47626</xdr:colOff>
      <xdr:row>20</xdr:row>
      <xdr:rowOff>19050</xdr:rowOff>
    </xdr:to>
    <xdr:sp macro="" textlink="">
      <xdr:nvSpPr>
        <xdr:cNvPr id="11" name="Rectangle: Rounded Corners 10">
          <a:extLst>
            <a:ext uri="{FF2B5EF4-FFF2-40B4-BE49-F238E27FC236}">
              <a16:creationId xmlns:a16="http://schemas.microsoft.com/office/drawing/2014/main" id="{51DE774D-4438-3F1B-E050-1CEA779B40B9}"/>
            </a:ext>
          </a:extLst>
        </xdr:cNvPr>
        <xdr:cNvSpPr/>
      </xdr:nvSpPr>
      <xdr:spPr>
        <a:xfrm>
          <a:off x="5075464" y="1428750"/>
          <a:ext cx="4156983" cy="2400300"/>
        </a:xfrm>
        <a:prstGeom prst="roundRect">
          <a:avLst>
            <a:gd name="adj" fmla="val 90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15</xdr:col>
      <xdr:colOff>104775</xdr:colOff>
      <xdr:row>7</xdr:row>
      <xdr:rowOff>38100</xdr:rowOff>
    </xdr:from>
    <xdr:to>
      <xdr:col>20</xdr:col>
      <xdr:colOff>209550</xdr:colOff>
      <xdr:row>20</xdr:row>
      <xdr:rowOff>104775</xdr:rowOff>
    </xdr:to>
    <xdr:sp macro="" textlink="">
      <xdr:nvSpPr>
        <xdr:cNvPr id="12" name="Rectangle: Rounded Corners 11">
          <a:extLst>
            <a:ext uri="{FF2B5EF4-FFF2-40B4-BE49-F238E27FC236}">
              <a16:creationId xmlns:a16="http://schemas.microsoft.com/office/drawing/2014/main" id="{8A3A9768-03C9-A225-A67B-177E0630AA19}"/>
            </a:ext>
          </a:extLst>
        </xdr:cNvPr>
        <xdr:cNvSpPr/>
      </xdr:nvSpPr>
      <xdr:spPr>
        <a:xfrm>
          <a:off x="9248775" y="1371600"/>
          <a:ext cx="3152775" cy="2543175"/>
        </a:xfrm>
        <a:prstGeom prst="roundRect">
          <a:avLst>
            <a:gd name="adj" fmla="val 7306"/>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13</xdr:col>
      <xdr:colOff>81642</xdr:colOff>
      <xdr:row>20</xdr:row>
      <xdr:rowOff>180975</xdr:rowOff>
    </xdr:from>
    <xdr:to>
      <xdr:col>20</xdr:col>
      <xdr:colOff>285749</xdr:colOff>
      <xdr:row>32</xdr:row>
      <xdr:rowOff>123825</xdr:rowOff>
    </xdr:to>
    <xdr:sp macro="" textlink="">
      <xdr:nvSpPr>
        <xdr:cNvPr id="9" name="Rectangle: Rounded Corners 8">
          <a:extLst>
            <a:ext uri="{FF2B5EF4-FFF2-40B4-BE49-F238E27FC236}">
              <a16:creationId xmlns:a16="http://schemas.microsoft.com/office/drawing/2014/main" id="{67CCBD01-79EF-EEA7-39F4-BA8A3E436755}"/>
            </a:ext>
          </a:extLst>
        </xdr:cNvPr>
        <xdr:cNvSpPr/>
      </xdr:nvSpPr>
      <xdr:spPr>
        <a:xfrm>
          <a:off x="8041821" y="3990975"/>
          <a:ext cx="4490357" cy="2228850"/>
        </a:xfrm>
        <a:prstGeom prst="roundRect">
          <a:avLst>
            <a:gd name="adj" fmla="val 1003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47624</xdr:colOff>
      <xdr:row>20</xdr:row>
      <xdr:rowOff>95250</xdr:rowOff>
    </xdr:from>
    <xdr:to>
      <xdr:col>7</xdr:col>
      <xdr:colOff>152399</xdr:colOff>
      <xdr:row>32</xdr:row>
      <xdr:rowOff>57150</xdr:rowOff>
    </xdr:to>
    <xdr:sp macro="" textlink="">
      <xdr:nvSpPr>
        <xdr:cNvPr id="14" name="Rectangle: Rounded Corners 13">
          <a:extLst>
            <a:ext uri="{FF2B5EF4-FFF2-40B4-BE49-F238E27FC236}">
              <a16:creationId xmlns:a16="http://schemas.microsoft.com/office/drawing/2014/main" id="{8B621AB2-6050-5BAB-BB17-737AE8A3818C}"/>
            </a:ext>
          </a:extLst>
        </xdr:cNvPr>
        <xdr:cNvSpPr/>
      </xdr:nvSpPr>
      <xdr:spPr>
        <a:xfrm>
          <a:off x="47624" y="3905250"/>
          <a:ext cx="4391025" cy="2247900"/>
        </a:xfrm>
        <a:prstGeom prst="roundRect">
          <a:avLst>
            <a:gd name="adj" fmla="val 8889"/>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219074</xdr:colOff>
      <xdr:row>20</xdr:row>
      <xdr:rowOff>95250</xdr:rowOff>
    </xdr:from>
    <xdr:to>
      <xdr:col>13</xdr:col>
      <xdr:colOff>19049</xdr:colOff>
      <xdr:row>32</xdr:row>
      <xdr:rowOff>95250</xdr:rowOff>
    </xdr:to>
    <xdr:sp macro="" textlink="">
      <xdr:nvSpPr>
        <xdr:cNvPr id="15" name="Rectangle: Rounded Corners 14">
          <a:extLst>
            <a:ext uri="{FF2B5EF4-FFF2-40B4-BE49-F238E27FC236}">
              <a16:creationId xmlns:a16="http://schemas.microsoft.com/office/drawing/2014/main" id="{A2450443-AB86-19AE-BECC-C47584E3AA0A}"/>
            </a:ext>
          </a:extLst>
        </xdr:cNvPr>
        <xdr:cNvSpPr/>
      </xdr:nvSpPr>
      <xdr:spPr>
        <a:xfrm>
          <a:off x="4505324" y="3905250"/>
          <a:ext cx="3473904" cy="2286000"/>
        </a:xfrm>
        <a:prstGeom prst="roundRect">
          <a:avLst>
            <a:gd name="adj" fmla="val 6397"/>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323851</xdr:colOff>
      <xdr:row>0</xdr:row>
      <xdr:rowOff>95251</xdr:rowOff>
    </xdr:from>
    <xdr:to>
      <xdr:col>1</xdr:col>
      <xdr:colOff>266701</xdr:colOff>
      <xdr:row>3</xdr:row>
      <xdr:rowOff>73655</xdr:rowOff>
    </xdr:to>
    <xdr:pic>
      <xdr:nvPicPr>
        <xdr:cNvPr id="17" name="Picture 16">
          <a:extLst>
            <a:ext uri="{FF2B5EF4-FFF2-40B4-BE49-F238E27FC236}">
              <a16:creationId xmlns:a16="http://schemas.microsoft.com/office/drawing/2014/main" id="{C93936A6-259C-F2A5-8090-29BF90898A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1" y="95251"/>
          <a:ext cx="552450" cy="549904"/>
        </a:xfrm>
        <a:prstGeom prst="rect">
          <a:avLst/>
        </a:prstGeom>
        <a:solidFill>
          <a:schemeClr val="tx1"/>
        </a:solidFill>
      </xdr:spPr>
    </xdr:pic>
    <xdr:clientData/>
  </xdr:twoCellAnchor>
  <xdr:twoCellAnchor editAs="absolute">
    <xdr:from>
      <xdr:col>2</xdr:col>
      <xdr:colOff>257175</xdr:colOff>
      <xdr:row>0</xdr:row>
      <xdr:rowOff>85725</xdr:rowOff>
    </xdr:from>
    <xdr:to>
      <xdr:col>14</xdr:col>
      <xdr:colOff>104775</xdr:colOff>
      <xdr:row>2</xdr:row>
      <xdr:rowOff>142875</xdr:rowOff>
    </xdr:to>
    <xdr:sp macro="" textlink="">
      <xdr:nvSpPr>
        <xdr:cNvPr id="18" name="TextBox 17">
          <a:extLst>
            <a:ext uri="{FF2B5EF4-FFF2-40B4-BE49-F238E27FC236}">
              <a16:creationId xmlns:a16="http://schemas.microsoft.com/office/drawing/2014/main" id="{08DD85C7-46CF-CA77-68F6-F546D6A549DC}"/>
            </a:ext>
          </a:extLst>
        </xdr:cNvPr>
        <xdr:cNvSpPr txBox="1"/>
      </xdr:nvSpPr>
      <xdr:spPr>
        <a:xfrm>
          <a:off x="1476375" y="85725"/>
          <a:ext cx="7162800" cy="438150"/>
        </a:xfrm>
        <a:prstGeom prst="rect">
          <a:avLst/>
        </a:prstGeom>
        <a:noFill/>
        <a:ln w="9525" cmpd="sng">
          <a:noFill/>
        </a:ln>
        <a:effectLst>
          <a:glow rad="63500">
            <a:schemeClr val="accent1">
              <a:satMod val="175000"/>
              <a:alpha val="40000"/>
            </a:schemeClr>
          </a:glow>
          <a:outerShdw blurRad="38100" dist="38100" dir="5400000" algn="t" rotWithShape="0">
            <a:prstClr val="black">
              <a:alpha val="9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CUSTOMER TRANSACTION DASHBOARD </a:t>
          </a:r>
        </a:p>
      </xdr:txBody>
    </xdr:sp>
    <xdr:clientData/>
  </xdr:twoCellAnchor>
  <xdr:twoCellAnchor editAs="absolute">
    <xdr:from>
      <xdr:col>2</xdr:col>
      <xdr:colOff>57151</xdr:colOff>
      <xdr:row>3</xdr:row>
      <xdr:rowOff>171450</xdr:rowOff>
    </xdr:from>
    <xdr:to>
      <xdr:col>4</xdr:col>
      <xdr:colOff>523875</xdr:colOff>
      <xdr:row>5</xdr:row>
      <xdr:rowOff>104775</xdr:rowOff>
    </xdr:to>
    <xdr:sp macro="" textlink="">
      <xdr:nvSpPr>
        <xdr:cNvPr id="19" name="TextBox 18">
          <a:extLst>
            <a:ext uri="{FF2B5EF4-FFF2-40B4-BE49-F238E27FC236}">
              <a16:creationId xmlns:a16="http://schemas.microsoft.com/office/drawing/2014/main" id="{F477B184-7578-EFA2-CA2B-26A0A7FC4517}"/>
            </a:ext>
          </a:extLst>
        </xdr:cNvPr>
        <xdr:cNvSpPr txBox="1"/>
      </xdr:nvSpPr>
      <xdr:spPr>
        <a:xfrm>
          <a:off x="1276351" y="742950"/>
          <a:ext cx="16859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Transactions</a:t>
          </a:r>
        </a:p>
      </xdr:txBody>
    </xdr:sp>
    <xdr:clientData/>
  </xdr:twoCellAnchor>
  <xdr:twoCellAnchor editAs="absolute">
    <xdr:from>
      <xdr:col>2</xdr:col>
      <xdr:colOff>85726</xdr:colOff>
      <xdr:row>5</xdr:row>
      <xdr:rowOff>9525</xdr:rowOff>
    </xdr:from>
    <xdr:to>
      <xdr:col>2</xdr:col>
      <xdr:colOff>552450</xdr:colOff>
      <xdr:row>6</xdr:row>
      <xdr:rowOff>95250</xdr:rowOff>
    </xdr:to>
    <xdr:sp macro="" textlink="Visualizations!A13">
      <xdr:nvSpPr>
        <xdr:cNvPr id="20" name="TextBox 19">
          <a:extLst>
            <a:ext uri="{FF2B5EF4-FFF2-40B4-BE49-F238E27FC236}">
              <a16:creationId xmlns:a16="http://schemas.microsoft.com/office/drawing/2014/main" id="{E0C9CA46-22BA-569B-0E91-33984B3F98B8}"/>
            </a:ext>
          </a:extLst>
        </xdr:cNvPr>
        <xdr:cNvSpPr txBox="1"/>
      </xdr:nvSpPr>
      <xdr:spPr>
        <a:xfrm>
          <a:off x="1304926" y="962025"/>
          <a:ext cx="4667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253EA4-5360-47F3-B8F9-AE38A58B9017}" type="TxLink">
            <a:rPr lang="en-US" sz="1100" b="1" i="0" u="none" strike="noStrike">
              <a:solidFill>
                <a:srgbClr val="FF0000"/>
              </a:solidFill>
              <a:latin typeface="Aptos Narrow"/>
            </a:rPr>
            <a:pPr/>
            <a:t>250</a:t>
          </a:fld>
          <a:endParaRPr lang="en-IN" sz="1100" b="1">
            <a:solidFill>
              <a:srgbClr val="FF0000"/>
            </a:solidFill>
          </a:endParaRPr>
        </a:p>
      </xdr:txBody>
    </xdr:sp>
    <xdr:clientData/>
  </xdr:twoCellAnchor>
  <xdr:twoCellAnchor editAs="absolute">
    <xdr:from>
      <xdr:col>6</xdr:col>
      <xdr:colOff>132839</xdr:colOff>
      <xdr:row>3</xdr:row>
      <xdr:rowOff>180975</xdr:rowOff>
    </xdr:from>
    <xdr:to>
      <xdr:col>8</xdr:col>
      <xdr:colOff>599563</xdr:colOff>
      <xdr:row>5</xdr:row>
      <xdr:rowOff>114300</xdr:rowOff>
    </xdr:to>
    <xdr:sp macro="" textlink="">
      <xdr:nvSpPr>
        <xdr:cNvPr id="28" name="TextBox 27">
          <a:extLst>
            <a:ext uri="{FF2B5EF4-FFF2-40B4-BE49-F238E27FC236}">
              <a16:creationId xmlns:a16="http://schemas.microsoft.com/office/drawing/2014/main" id="{CDFCC111-612D-4F22-BA09-9B420D30D924}"/>
            </a:ext>
          </a:extLst>
        </xdr:cNvPr>
        <xdr:cNvSpPr txBox="1"/>
      </xdr:nvSpPr>
      <xdr:spPr>
        <a:xfrm>
          <a:off x="3790439" y="752475"/>
          <a:ext cx="16859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Revenue</a:t>
          </a:r>
        </a:p>
      </xdr:txBody>
    </xdr:sp>
    <xdr:clientData/>
  </xdr:twoCellAnchor>
  <xdr:twoCellAnchor editAs="absolute">
    <xdr:from>
      <xdr:col>6</xdr:col>
      <xdr:colOff>171451</xdr:colOff>
      <xdr:row>5</xdr:row>
      <xdr:rowOff>9525</xdr:rowOff>
    </xdr:from>
    <xdr:to>
      <xdr:col>7</xdr:col>
      <xdr:colOff>371475</xdr:colOff>
      <xdr:row>6</xdr:row>
      <xdr:rowOff>95250</xdr:rowOff>
    </xdr:to>
    <xdr:sp macro="" textlink="Visualizations!A5">
      <xdr:nvSpPr>
        <xdr:cNvPr id="29" name="TextBox 28">
          <a:extLst>
            <a:ext uri="{FF2B5EF4-FFF2-40B4-BE49-F238E27FC236}">
              <a16:creationId xmlns:a16="http://schemas.microsoft.com/office/drawing/2014/main" id="{35A6CCE4-C33B-C46C-9331-8862B0C40FDC}"/>
            </a:ext>
          </a:extLst>
        </xdr:cNvPr>
        <xdr:cNvSpPr txBox="1"/>
      </xdr:nvSpPr>
      <xdr:spPr>
        <a:xfrm>
          <a:off x="3829051" y="962025"/>
          <a:ext cx="8096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212076-FC29-457D-8B68-808925D9AD10}" type="TxLink">
            <a:rPr lang="en-US" sz="1100" b="1" i="0" u="none" strike="noStrike">
              <a:solidFill>
                <a:srgbClr val="FF0000"/>
              </a:solidFill>
              <a:latin typeface="Aptos Narrow"/>
            </a:rPr>
            <a:pPr/>
            <a:t>229192.47</a:t>
          </a:fld>
          <a:endParaRPr lang="en-IN" sz="1100" b="1">
            <a:solidFill>
              <a:srgbClr val="FF0000"/>
            </a:solidFill>
          </a:endParaRPr>
        </a:p>
      </xdr:txBody>
    </xdr:sp>
    <xdr:clientData/>
  </xdr:twoCellAnchor>
  <xdr:twoCellAnchor editAs="absolute">
    <xdr:from>
      <xdr:col>10</xdr:col>
      <xdr:colOff>209039</xdr:colOff>
      <xdr:row>3</xdr:row>
      <xdr:rowOff>171450</xdr:rowOff>
    </xdr:from>
    <xdr:to>
      <xdr:col>13</xdr:col>
      <xdr:colOff>66163</xdr:colOff>
      <xdr:row>5</xdr:row>
      <xdr:rowOff>104775</xdr:rowOff>
    </xdr:to>
    <xdr:sp macro="" textlink="">
      <xdr:nvSpPr>
        <xdr:cNvPr id="30" name="TextBox 29">
          <a:extLst>
            <a:ext uri="{FF2B5EF4-FFF2-40B4-BE49-F238E27FC236}">
              <a16:creationId xmlns:a16="http://schemas.microsoft.com/office/drawing/2014/main" id="{E36C90D8-8125-5527-2188-1F6D6C6E4C73}"/>
            </a:ext>
          </a:extLst>
        </xdr:cNvPr>
        <xdr:cNvSpPr txBox="1"/>
      </xdr:nvSpPr>
      <xdr:spPr>
        <a:xfrm>
          <a:off x="6305039" y="742950"/>
          <a:ext cx="1685924"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Quantity Sold</a:t>
          </a:r>
          <a:endParaRPr lang="en-IN" sz="1400" b="1"/>
        </a:p>
      </xdr:txBody>
    </xdr:sp>
    <xdr:clientData/>
  </xdr:twoCellAnchor>
  <xdr:twoCellAnchor editAs="absolute">
    <xdr:from>
      <xdr:col>10</xdr:col>
      <xdr:colOff>200026</xdr:colOff>
      <xdr:row>5</xdr:row>
      <xdr:rowOff>9525</xdr:rowOff>
    </xdr:from>
    <xdr:to>
      <xdr:col>11</xdr:col>
      <xdr:colOff>57150</xdr:colOff>
      <xdr:row>6</xdr:row>
      <xdr:rowOff>95250</xdr:rowOff>
    </xdr:to>
    <xdr:sp macro="" textlink="Visualizations!A9">
      <xdr:nvSpPr>
        <xdr:cNvPr id="31" name="TextBox 30">
          <a:extLst>
            <a:ext uri="{FF2B5EF4-FFF2-40B4-BE49-F238E27FC236}">
              <a16:creationId xmlns:a16="http://schemas.microsoft.com/office/drawing/2014/main" id="{36A4EFDA-4D73-5890-FCCB-98CEA9C00518}"/>
            </a:ext>
          </a:extLst>
        </xdr:cNvPr>
        <xdr:cNvSpPr txBox="1"/>
      </xdr:nvSpPr>
      <xdr:spPr>
        <a:xfrm>
          <a:off x="6296026" y="962025"/>
          <a:ext cx="46672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50600D-EDDA-4399-827D-A77DED867BAC}" type="TxLink">
            <a:rPr lang="en-US" sz="1100" b="1" i="0" u="none" strike="noStrike">
              <a:solidFill>
                <a:srgbClr val="FF0000"/>
              </a:solidFill>
              <a:latin typeface="Aptos Narrow"/>
            </a:rPr>
            <a:pPr/>
            <a:t>753</a:t>
          </a:fld>
          <a:endParaRPr lang="en-IN" sz="1100" b="1">
            <a:solidFill>
              <a:srgbClr val="FF0000"/>
            </a:solidFill>
          </a:endParaRPr>
        </a:p>
      </xdr:txBody>
    </xdr:sp>
    <xdr:clientData/>
  </xdr:twoCellAnchor>
  <xdr:twoCellAnchor editAs="absolute">
    <xdr:from>
      <xdr:col>0</xdr:col>
      <xdr:colOff>66671</xdr:colOff>
      <xdr:row>4</xdr:row>
      <xdr:rowOff>66676</xdr:rowOff>
    </xdr:from>
    <xdr:to>
      <xdr:col>1</xdr:col>
      <xdr:colOff>501071</xdr:colOff>
      <xdr:row>19</xdr:row>
      <xdr:rowOff>95249</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88D48B26-A8CD-43C8-B1E9-7147ED7BF4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671" y="828676"/>
              <a:ext cx="1048233" cy="2886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409575</xdr:colOff>
      <xdr:row>8</xdr:row>
      <xdr:rowOff>47626</xdr:rowOff>
    </xdr:from>
    <xdr:to>
      <xdr:col>14</xdr:col>
      <xdr:colOff>504825</xdr:colOff>
      <xdr:row>19</xdr:row>
      <xdr:rowOff>57150</xdr:rowOff>
    </xdr:to>
    <xdr:graphicFrame macro="">
      <xdr:nvGraphicFramePr>
        <xdr:cNvPr id="34" name="Chart 33">
          <a:extLst>
            <a:ext uri="{FF2B5EF4-FFF2-40B4-BE49-F238E27FC236}">
              <a16:creationId xmlns:a16="http://schemas.microsoft.com/office/drawing/2014/main" id="{3AF76966-CFAF-453D-9CFD-EF6C9791D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85725</xdr:colOff>
      <xdr:row>7</xdr:row>
      <xdr:rowOff>161925</xdr:rowOff>
    </xdr:from>
    <xdr:to>
      <xdr:col>13</xdr:col>
      <xdr:colOff>447675</xdr:colOff>
      <xdr:row>9</xdr:row>
      <xdr:rowOff>47625</xdr:rowOff>
    </xdr:to>
    <xdr:sp macro="" textlink="">
      <xdr:nvSpPr>
        <xdr:cNvPr id="35" name="TextBox 34">
          <a:extLst>
            <a:ext uri="{FF2B5EF4-FFF2-40B4-BE49-F238E27FC236}">
              <a16:creationId xmlns:a16="http://schemas.microsoft.com/office/drawing/2014/main" id="{4F246D70-DF74-385D-23D0-8FBD324CD9E3}"/>
            </a:ext>
          </a:extLst>
        </xdr:cNvPr>
        <xdr:cNvSpPr txBox="1"/>
      </xdr:nvSpPr>
      <xdr:spPr>
        <a:xfrm>
          <a:off x="6181725" y="1495425"/>
          <a:ext cx="2190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 10 Customer By High Value</a:t>
          </a:r>
        </a:p>
      </xdr:txBody>
    </xdr:sp>
    <xdr:clientData/>
  </xdr:twoCellAnchor>
  <xdr:twoCellAnchor editAs="absolute">
    <xdr:from>
      <xdr:col>15</xdr:col>
      <xdr:colOff>171450</xdr:colOff>
      <xdr:row>8</xdr:row>
      <xdr:rowOff>133350</xdr:rowOff>
    </xdr:from>
    <xdr:to>
      <xdr:col>20</xdr:col>
      <xdr:colOff>19050</xdr:colOff>
      <xdr:row>19</xdr:row>
      <xdr:rowOff>57150</xdr:rowOff>
    </xdr:to>
    <xdr:graphicFrame macro="">
      <xdr:nvGraphicFramePr>
        <xdr:cNvPr id="36" name="Chart 35">
          <a:extLst>
            <a:ext uri="{FF2B5EF4-FFF2-40B4-BE49-F238E27FC236}">
              <a16:creationId xmlns:a16="http://schemas.microsoft.com/office/drawing/2014/main" id="{6FA2BE67-1CD3-4E7A-8320-AA9394098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16</xdr:col>
      <xdr:colOff>571500</xdr:colOff>
      <xdr:row>7</xdr:row>
      <xdr:rowOff>28575</xdr:rowOff>
    </xdr:from>
    <xdr:to>
      <xdr:col>19</xdr:col>
      <xdr:colOff>152400</xdr:colOff>
      <xdr:row>8</xdr:row>
      <xdr:rowOff>104775</xdr:rowOff>
    </xdr:to>
    <xdr:sp macro="" textlink="">
      <xdr:nvSpPr>
        <xdr:cNvPr id="42" name="TextBox 41">
          <a:extLst>
            <a:ext uri="{FF2B5EF4-FFF2-40B4-BE49-F238E27FC236}">
              <a16:creationId xmlns:a16="http://schemas.microsoft.com/office/drawing/2014/main" id="{3D8787C4-1753-239C-922F-8B0624A64116}"/>
            </a:ext>
          </a:extLst>
        </xdr:cNvPr>
        <xdr:cNvSpPr txBox="1"/>
      </xdr:nvSpPr>
      <xdr:spPr>
        <a:xfrm>
          <a:off x="10325100" y="1362075"/>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Customer Segment</a:t>
          </a:r>
        </a:p>
      </xdr:txBody>
    </xdr:sp>
    <xdr:clientData/>
  </xdr:twoCellAnchor>
  <xdr:twoCellAnchor editAs="absolute">
    <xdr:from>
      <xdr:col>14</xdr:col>
      <xdr:colOff>523876</xdr:colOff>
      <xdr:row>0</xdr:row>
      <xdr:rowOff>142875</xdr:rowOff>
    </xdr:from>
    <xdr:to>
      <xdr:col>19</xdr:col>
      <xdr:colOff>514350</xdr:colOff>
      <xdr:row>5</xdr:row>
      <xdr:rowOff>95251</xdr:rowOff>
    </xdr:to>
    <mc:AlternateContent xmlns:mc="http://schemas.openxmlformats.org/markup-compatibility/2006" xmlns:tsle="http://schemas.microsoft.com/office/drawing/2012/timeslicer">
      <mc:Choice Requires="tsle">
        <xdr:graphicFrame macro="">
          <xdr:nvGraphicFramePr>
            <xdr:cNvPr id="46" name="Date">
              <a:extLst>
                <a:ext uri="{FF2B5EF4-FFF2-40B4-BE49-F238E27FC236}">
                  <a16:creationId xmlns:a16="http://schemas.microsoft.com/office/drawing/2014/main" id="{819D5542-5493-4074-AC5C-B05301B9C14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117543" y="142875"/>
              <a:ext cx="3059640" cy="9048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0</xdr:col>
      <xdr:colOff>142875</xdr:colOff>
      <xdr:row>22</xdr:row>
      <xdr:rowOff>104775</xdr:rowOff>
    </xdr:from>
    <xdr:to>
      <xdr:col>6</xdr:col>
      <xdr:colOff>600075</xdr:colOff>
      <xdr:row>31</xdr:row>
      <xdr:rowOff>152400</xdr:rowOff>
    </xdr:to>
    <xdr:graphicFrame macro="">
      <xdr:nvGraphicFramePr>
        <xdr:cNvPr id="48" name="Chart 47">
          <a:extLst>
            <a:ext uri="{FF2B5EF4-FFF2-40B4-BE49-F238E27FC236}">
              <a16:creationId xmlns:a16="http://schemas.microsoft.com/office/drawing/2014/main" id="{BAC17A86-57DA-4665-BC0F-4AC4F5B97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485775</xdr:colOff>
      <xdr:row>20</xdr:row>
      <xdr:rowOff>152400</xdr:rowOff>
    </xdr:from>
    <xdr:to>
      <xdr:col>5</xdr:col>
      <xdr:colOff>238125</xdr:colOff>
      <xdr:row>22</xdr:row>
      <xdr:rowOff>38100</xdr:rowOff>
    </xdr:to>
    <xdr:sp macro="" textlink="">
      <xdr:nvSpPr>
        <xdr:cNvPr id="49" name="TextBox 48">
          <a:extLst>
            <a:ext uri="{FF2B5EF4-FFF2-40B4-BE49-F238E27FC236}">
              <a16:creationId xmlns:a16="http://schemas.microsoft.com/office/drawing/2014/main" id="{4C859AA0-B917-2A7F-BFB5-96568D0851D0}"/>
            </a:ext>
          </a:extLst>
        </xdr:cNvPr>
        <xdr:cNvSpPr txBox="1"/>
      </xdr:nvSpPr>
      <xdr:spPr>
        <a:xfrm>
          <a:off x="1095375" y="3962400"/>
          <a:ext cx="2190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Tops Product By </a:t>
          </a:r>
          <a:r>
            <a:rPr lang="en-IN" sz="1200" b="1" baseline="0"/>
            <a:t> Value</a:t>
          </a:r>
          <a:endParaRPr lang="en-IN" sz="1200" b="1"/>
        </a:p>
      </xdr:txBody>
    </xdr:sp>
    <xdr:clientData/>
  </xdr:twoCellAnchor>
  <xdr:twoCellAnchor editAs="absolute">
    <xdr:from>
      <xdr:col>2</xdr:col>
      <xdr:colOff>85726</xdr:colOff>
      <xdr:row>7</xdr:row>
      <xdr:rowOff>95248</xdr:rowOff>
    </xdr:from>
    <xdr:to>
      <xdr:col>8</xdr:col>
      <xdr:colOff>114300</xdr:colOff>
      <xdr:row>19</xdr:row>
      <xdr:rowOff>190499</xdr:rowOff>
    </xdr:to>
    <xdr:sp macro="" textlink="">
      <xdr:nvSpPr>
        <xdr:cNvPr id="50" name="Rectangle: Rounded Corners 49">
          <a:extLst>
            <a:ext uri="{FF2B5EF4-FFF2-40B4-BE49-F238E27FC236}">
              <a16:creationId xmlns:a16="http://schemas.microsoft.com/office/drawing/2014/main" id="{DB1A29D6-4B78-E475-0517-A6A9DBEC09F5}"/>
            </a:ext>
          </a:extLst>
        </xdr:cNvPr>
        <xdr:cNvSpPr/>
      </xdr:nvSpPr>
      <xdr:spPr>
        <a:xfrm>
          <a:off x="1304926" y="1428748"/>
          <a:ext cx="3686174" cy="2381251"/>
        </a:xfrm>
        <a:prstGeom prst="roundRect">
          <a:avLst>
            <a:gd name="adj" fmla="val 6397"/>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228601</xdr:colOff>
      <xdr:row>9</xdr:row>
      <xdr:rowOff>76199</xdr:rowOff>
    </xdr:from>
    <xdr:to>
      <xdr:col>7</xdr:col>
      <xdr:colOff>495301</xdr:colOff>
      <xdr:row>19</xdr:row>
      <xdr:rowOff>85724</xdr:rowOff>
    </xdr:to>
    <xdr:graphicFrame macro="">
      <xdr:nvGraphicFramePr>
        <xdr:cNvPr id="51" name="Chart 50">
          <a:extLst>
            <a:ext uri="{FF2B5EF4-FFF2-40B4-BE49-F238E27FC236}">
              <a16:creationId xmlns:a16="http://schemas.microsoft.com/office/drawing/2014/main" id="{95FAD485-0509-48EA-BDE5-B91DF975D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95250</xdr:colOff>
      <xdr:row>7</xdr:row>
      <xdr:rowOff>142875</xdr:rowOff>
    </xdr:from>
    <xdr:to>
      <xdr:col>6</xdr:col>
      <xdr:colOff>447675</xdr:colOff>
      <xdr:row>9</xdr:row>
      <xdr:rowOff>28575</xdr:rowOff>
    </xdr:to>
    <xdr:sp macro="" textlink="">
      <xdr:nvSpPr>
        <xdr:cNvPr id="52" name="TextBox 51">
          <a:extLst>
            <a:ext uri="{FF2B5EF4-FFF2-40B4-BE49-F238E27FC236}">
              <a16:creationId xmlns:a16="http://schemas.microsoft.com/office/drawing/2014/main" id="{E1BE5A51-D0E6-789A-C563-D84D2BE46F55}"/>
            </a:ext>
          </a:extLst>
        </xdr:cNvPr>
        <xdr:cNvSpPr txBox="1"/>
      </xdr:nvSpPr>
      <xdr:spPr>
        <a:xfrm>
          <a:off x="2533650" y="1476375"/>
          <a:ext cx="1571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Transaction By</a:t>
          </a:r>
          <a:r>
            <a:rPr lang="en-IN" sz="1200" b="1" baseline="0"/>
            <a:t> Day</a:t>
          </a:r>
          <a:endParaRPr lang="en-IN" sz="1200" b="1"/>
        </a:p>
      </xdr:txBody>
    </xdr:sp>
    <xdr:clientData/>
  </xdr:twoCellAnchor>
  <xdr:twoCellAnchor editAs="absolute">
    <xdr:from>
      <xdr:col>7</xdr:col>
      <xdr:colOff>323849</xdr:colOff>
      <xdr:row>21</xdr:row>
      <xdr:rowOff>114300</xdr:rowOff>
    </xdr:from>
    <xdr:to>
      <xdr:col>12</xdr:col>
      <xdr:colOff>466725</xdr:colOff>
      <xdr:row>32</xdr:row>
      <xdr:rowOff>9525</xdr:rowOff>
    </xdr:to>
    <xdr:graphicFrame macro="">
      <xdr:nvGraphicFramePr>
        <xdr:cNvPr id="53" name="Chart 52">
          <a:extLst>
            <a:ext uri="{FF2B5EF4-FFF2-40B4-BE49-F238E27FC236}">
              <a16:creationId xmlns:a16="http://schemas.microsoft.com/office/drawing/2014/main" id="{B4659E88-6DE6-4D0E-8443-AEA112843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314325</xdr:colOff>
      <xdr:row>20</xdr:row>
      <xdr:rowOff>171450</xdr:rowOff>
    </xdr:from>
    <xdr:to>
      <xdr:col>11</xdr:col>
      <xdr:colOff>495300</xdr:colOff>
      <xdr:row>22</xdr:row>
      <xdr:rowOff>57150</xdr:rowOff>
    </xdr:to>
    <xdr:sp macro="" textlink="">
      <xdr:nvSpPr>
        <xdr:cNvPr id="54" name="TextBox 53">
          <a:extLst>
            <a:ext uri="{FF2B5EF4-FFF2-40B4-BE49-F238E27FC236}">
              <a16:creationId xmlns:a16="http://schemas.microsoft.com/office/drawing/2014/main" id="{3ADF232C-1B6B-84F2-A36F-C5E9D776C7CB}"/>
            </a:ext>
          </a:extLst>
        </xdr:cNvPr>
        <xdr:cNvSpPr txBox="1"/>
      </xdr:nvSpPr>
      <xdr:spPr>
        <a:xfrm>
          <a:off x="5191125" y="3981450"/>
          <a:ext cx="20097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Payment Method Distrbution</a:t>
          </a:r>
        </a:p>
      </xdr:txBody>
    </xdr:sp>
    <xdr:clientData/>
  </xdr:twoCellAnchor>
  <xdr:twoCellAnchor editAs="absolute">
    <xdr:from>
      <xdr:col>13</xdr:col>
      <xdr:colOff>171450</xdr:colOff>
      <xdr:row>21</xdr:row>
      <xdr:rowOff>0</xdr:rowOff>
    </xdr:from>
    <xdr:to>
      <xdr:col>16</xdr:col>
      <xdr:colOff>352425</xdr:colOff>
      <xdr:row>22</xdr:row>
      <xdr:rowOff>76200</xdr:rowOff>
    </xdr:to>
    <xdr:sp macro="" textlink="">
      <xdr:nvSpPr>
        <xdr:cNvPr id="10" name="TextBox 9">
          <a:extLst>
            <a:ext uri="{FF2B5EF4-FFF2-40B4-BE49-F238E27FC236}">
              <a16:creationId xmlns:a16="http://schemas.microsoft.com/office/drawing/2014/main" id="{B173B66B-2241-58E8-7097-308C49C5C164}"/>
            </a:ext>
          </a:extLst>
        </xdr:cNvPr>
        <xdr:cNvSpPr txBox="1"/>
      </xdr:nvSpPr>
      <xdr:spPr>
        <a:xfrm>
          <a:off x="8096250" y="4000500"/>
          <a:ext cx="20097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KEY BUSINESS INSIGHTS</a:t>
          </a:r>
        </a:p>
      </xdr:txBody>
    </xdr:sp>
    <xdr:clientData/>
  </xdr:twoCellAnchor>
  <xdr:twoCellAnchor editAs="absolute">
    <xdr:from>
      <xdr:col>13</xdr:col>
      <xdr:colOff>219076</xdr:colOff>
      <xdr:row>22</xdr:row>
      <xdr:rowOff>66675</xdr:rowOff>
    </xdr:from>
    <xdr:to>
      <xdr:col>15</xdr:col>
      <xdr:colOff>257176</xdr:colOff>
      <xdr:row>23</xdr:row>
      <xdr:rowOff>142875</xdr:rowOff>
    </xdr:to>
    <xdr:sp macro="" textlink="">
      <xdr:nvSpPr>
        <xdr:cNvPr id="13" name="TextBox 12">
          <a:extLst>
            <a:ext uri="{FF2B5EF4-FFF2-40B4-BE49-F238E27FC236}">
              <a16:creationId xmlns:a16="http://schemas.microsoft.com/office/drawing/2014/main" id="{73528E5A-1933-0C94-7A07-D7922AC38876}"/>
            </a:ext>
          </a:extLst>
        </xdr:cNvPr>
        <xdr:cNvSpPr txBox="1"/>
      </xdr:nvSpPr>
      <xdr:spPr>
        <a:xfrm>
          <a:off x="8143876" y="4257675"/>
          <a:ext cx="1257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 Customers : </a:t>
          </a:r>
          <a:endParaRPr lang="en-IN" sz="1200" b="1"/>
        </a:p>
      </xdr:txBody>
    </xdr:sp>
    <xdr:clientData/>
  </xdr:twoCellAnchor>
  <xdr:twoCellAnchor editAs="absolute">
    <xdr:from>
      <xdr:col>16</xdr:col>
      <xdr:colOff>104774</xdr:colOff>
      <xdr:row>22</xdr:row>
      <xdr:rowOff>38099</xdr:rowOff>
    </xdr:from>
    <xdr:to>
      <xdr:col>20</xdr:col>
      <xdr:colOff>114299</xdr:colOff>
      <xdr:row>25</xdr:row>
      <xdr:rowOff>47625</xdr:rowOff>
    </xdr:to>
    <xdr:sp macro="" textlink="Visualizations!L11">
      <xdr:nvSpPr>
        <xdr:cNvPr id="16" name="TextBox 15">
          <a:extLst>
            <a:ext uri="{FF2B5EF4-FFF2-40B4-BE49-F238E27FC236}">
              <a16:creationId xmlns:a16="http://schemas.microsoft.com/office/drawing/2014/main" id="{109903EF-A958-4D32-81BB-77FA4931BEFC}"/>
            </a:ext>
          </a:extLst>
        </xdr:cNvPr>
        <xdr:cNvSpPr txBox="1"/>
      </xdr:nvSpPr>
      <xdr:spPr>
        <a:xfrm>
          <a:off x="9858374" y="4229099"/>
          <a:ext cx="2447925" cy="581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u="none" strike="noStrike">
              <a:solidFill>
                <a:srgbClr val="000000"/>
              </a:solidFill>
              <a:latin typeface="Aptos Narrow"/>
            </a:rPr>
            <a:t> </a:t>
          </a:r>
          <a:r>
            <a:rPr lang="en-IN" sz="1050"/>
            <a:t>The business serves </a:t>
          </a:r>
          <a:fld id="{CAA095A0-96C6-4DCE-B148-111E687042B0}" type="TxLink">
            <a:rPr lang="en-US" sz="1050" b="1" i="0" u="none" strike="noStrike">
              <a:solidFill>
                <a:srgbClr val="000000"/>
              </a:solidFill>
              <a:latin typeface="Aptos Narrow"/>
            </a:rPr>
            <a:pPr/>
            <a:t>50</a:t>
          </a:fld>
          <a:r>
            <a:rPr lang="en-US" sz="1050" b="0" i="0" u="none" strike="noStrike">
              <a:solidFill>
                <a:srgbClr val="000000"/>
              </a:solidFill>
              <a:latin typeface="Aptos Narrow"/>
            </a:rPr>
            <a:t> </a:t>
          </a:r>
          <a:r>
            <a:rPr lang="en-IN" sz="1050"/>
            <a:t>customers, providing a base for customer behavior and purchasing analysis.</a:t>
          </a:r>
          <a:endParaRPr lang="en-IN" sz="1050" b="1"/>
        </a:p>
      </xdr:txBody>
    </xdr:sp>
    <xdr:clientData/>
  </xdr:twoCellAnchor>
  <xdr:twoCellAnchor editAs="absolute">
    <xdr:from>
      <xdr:col>13</xdr:col>
      <xdr:colOff>228601</xdr:colOff>
      <xdr:row>25</xdr:row>
      <xdr:rowOff>28575</xdr:rowOff>
    </xdr:from>
    <xdr:to>
      <xdr:col>16</xdr:col>
      <xdr:colOff>66675</xdr:colOff>
      <xdr:row>26</xdr:row>
      <xdr:rowOff>104775</xdr:rowOff>
    </xdr:to>
    <xdr:sp macro="" textlink="">
      <xdr:nvSpPr>
        <xdr:cNvPr id="21" name="TextBox 20">
          <a:extLst>
            <a:ext uri="{FF2B5EF4-FFF2-40B4-BE49-F238E27FC236}">
              <a16:creationId xmlns:a16="http://schemas.microsoft.com/office/drawing/2014/main" id="{F700E2BD-CF14-36B8-BC0E-151905324692}"/>
            </a:ext>
          </a:extLst>
        </xdr:cNvPr>
        <xdr:cNvSpPr txBox="1"/>
      </xdr:nvSpPr>
      <xdr:spPr>
        <a:xfrm>
          <a:off x="8153401" y="4791075"/>
          <a:ext cx="166687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Best-Sold Product : </a:t>
          </a:r>
          <a:endParaRPr lang="en-IN" sz="1100" b="1"/>
        </a:p>
      </xdr:txBody>
    </xdr:sp>
    <xdr:clientData/>
  </xdr:twoCellAnchor>
  <xdr:twoCellAnchor editAs="absolute">
    <xdr:from>
      <xdr:col>16</xdr:col>
      <xdr:colOff>85724</xdr:colOff>
      <xdr:row>25</xdr:row>
      <xdr:rowOff>38099</xdr:rowOff>
    </xdr:from>
    <xdr:to>
      <xdr:col>20</xdr:col>
      <xdr:colOff>247650</xdr:colOff>
      <xdr:row>27</xdr:row>
      <xdr:rowOff>0</xdr:rowOff>
    </xdr:to>
    <xdr:sp macro="" textlink="Visualizations!M12">
      <xdr:nvSpPr>
        <xdr:cNvPr id="22" name="TextBox 21">
          <a:extLst>
            <a:ext uri="{FF2B5EF4-FFF2-40B4-BE49-F238E27FC236}">
              <a16:creationId xmlns:a16="http://schemas.microsoft.com/office/drawing/2014/main" id="{E5E9D37E-DBAB-BB47-BAE6-0707F2A470E6}"/>
            </a:ext>
          </a:extLst>
        </xdr:cNvPr>
        <xdr:cNvSpPr txBox="1"/>
      </xdr:nvSpPr>
      <xdr:spPr>
        <a:xfrm>
          <a:off x="9839324" y="4800599"/>
          <a:ext cx="2600326"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E4506D-8BB4-418A-807C-E580786C5907}" type="TxLink">
            <a:rPr lang="en-US" sz="1000" b="1" i="0" u="none" strike="noStrike">
              <a:solidFill>
                <a:srgbClr val="000000"/>
              </a:solidFill>
              <a:latin typeface="Aptos Narrow"/>
            </a:rPr>
            <a:pPr/>
            <a:t>Laptop</a:t>
          </a:fld>
          <a:r>
            <a:rPr lang="en-US" sz="1000" b="1" i="0" u="none" strike="noStrike">
              <a:solidFill>
                <a:srgbClr val="000000"/>
              </a:solidFill>
              <a:latin typeface="Aptos Narrow"/>
            </a:rPr>
            <a:t> </a:t>
          </a:r>
          <a:r>
            <a:rPr lang="en-IN" sz="1000"/>
            <a:t>generated the highest product revenue,</a:t>
          </a:r>
          <a:endParaRPr lang="en-IN" sz="1000" b="1"/>
        </a:p>
      </xdr:txBody>
    </xdr:sp>
    <xdr:clientData/>
  </xdr:twoCellAnchor>
  <xdr:twoCellAnchor editAs="absolute">
    <xdr:from>
      <xdr:col>13</xdr:col>
      <xdr:colOff>238125</xdr:colOff>
      <xdr:row>26</xdr:row>
      <xdr:rowOff>171449</xdr:rowOff>
    </xdr:from>
    <xdr:to>
      <xdr:col>16</xdr:col>
      <xdr:colOff>38100</xdr:colOff>
      <xdr:row>29</xdr:row>
      <xdr:rowOff>47625</xdr:rowOff>
    </xdr:to>
    <xdr:sp macro="" textlink="">
      <xdr:nvSpPr>
        <xdr:cNvPr id="25" name="TextBox 24">
          <a:extLst>
            <a:ext uri="{FF2B5EF4-FFF2-40B4-BE49-F238E27FC236}">
              <a16:creationId xmlns:a16="http://schemas.microsoft.com/office/drawing/2014/main" id="{12E4644C-D00C-9E11-7BE5-1FE4ABE6148F}"/>
            </a:ext>
          </a:extLst>
        </xdr:cNvPr>
        <xdr:cNvSpPr txBox="1"/>
      </xdr:nvSpPr>
      <xdr:spPr>
        <a:xfrm>
          <a:off x="8162925" y="5124449"/>
          <a:ext cx="1628775"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Top Revenue-Generating Customer :</a:t>
          </a:r>
          <a:endParaRPr lang="en-IN" sz="1100" b="1"/>
        </a:p>
      </xdr:txBody>
    </xdr:sp>
    <xdr:clientData/>
  </xdr:twoCellAnchor>
  <xdr:twoCellAnchor editAs="absolute">
    <xdr:from>
      <xdr:col>16</xdr:col>
      <xdr:colOff>85724</xdr:colOff>
      <xdr:row>26</xdr:row>
      <xdr:rowOff>123824</xdr:rowOff>
    </xdr:from>
    <xdr:to>
      <xdr:col>20</xdr:col>
      <xdr:colOff>247650</xdr:colOff>
      <xdr:row>29</xdr:row>
      <xdr:rowOff>28575</xdr:rowOff>
    </xdr:to>
    <xdr:sp macro="" textlink="Visualizations!M13">
      <xdr:nvSpPr>
        <xdr:cNvPr id="26" name="TextBox 25">
          <a:extLst>
            <a:ext uri="{FF2B5EF4-FFF2-40B4-BE49-F238E27FC236}">
              <a16:creationId xmlns:a16="http://schemas.microsoft.com/office/drawing/2014/main" id="{885565CB-C64D-661A-D14B-6F8444CA6E38}"/>
            </a:ext>
          </a:extLst>
        </xdr:cNvPr>
        <xdr:cNvSpPr txBox="1"/>
      </xdr:nvSpPr>
      <xdr:spPr>
        <a:xfrm>
          <a:off x="9839324" y="5076824"/>
          <a:ext cx="2600326"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15D61F-A083-4512-919C-C1D2546A88CD}" type="TxLink">
            <a:rPr lang="en-US" sz="1100" b="1" i="0" u="none" strike="noStrike">
              <a:solidFill>
                <a:srgbClr val="000000"/>
              </a:solidFill>
              <a:latin typeface="Aptos Narrow"/>
            </a:rPr>
            <a:pPr/>
            <a:t>Mark Carter</a:t>
          </a:fld>
          <a:r>
            <a:rPr lang="en-US" sz="1100" b="0" i="0" u="none" strike="noStrike">
              <a:solidFill>
                <a:srgbClr val="000000"/>
              </a:solidFill>
              <a:latin typeface="Aptos Narrow"/>
            </a:rPr>
            <a:t> </a:t>
          </a:r>
          <a:r>
            <a:rPr lang="en-IN" sz="1100"/>
            <a:t>contributed the highest customer revenue</a:t>
          </a:r>
          <a:endParaRPr lang="en-IN" sz="1100" b="1"/>
        </a:p>
      </xdr:txBody>
    </xdr:sp>
    <xdr:clientData/>
  </xdr:twoCellAnchor>
  <xdr:twoCellAnchor editAs="absolute">
    <xdr:from>
      <xdr:col>13</xdr:col>
      <xdr:colOff>238125</xdr:colOff>
      <xdr:row>29</xdr:row>
      <xdr:rowOff>190499</xdr:rowOff>
    </xdr:from>
    <xdr:to>
      <xdr:col>16</xdr:col>
      <xdr:colOff>38100</xdr:colOff>
      <xdr:row>31</xdr:row>
      <xdr:rowOff>133350</xdr:rowOff>
    </xdr:to>
    <xdr:sp macro="" textlink="">
      <xdr:nvSpPr>
        <xdr:cNvPr id="27" name="TextBox 26">
          <a:extLst>
            <a:ext uri="{FF2B5EF4-FFF2-40B4-BE49-F238E27FC236}">
              <a16:creationId xmlns:a16="http://schemas.microsoft.com/office/drawing/2014/main" id="{7A1497DB-FCA8-F55B-07D4-5F84C72E41F5}"/>
            </a:ext>
          </a:extLst>
        </xdr:cNvPr>
        <xdr:cNvSpPr txBox="1"/>
      </xdr:nvSpPr>
      <xdr:spPr>
        <a:xfrm>
          <a:off x="8162925" y="5714999"/>
          <a:ext cx="162877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Payment Preference :</a:t>
          </a:r>
          <a:endParaRPr lang="en-IN" sz="1100" b="1"/>
        </a:p>
      </xdr:txBody>
    </xdr:sp>
    <xdr:clientData/>
  </xdr:twoCellAnchor>
  <xdr:twoCellAnchor editAs="absolute">
    <xdr:from>
      <xdr:col>16</xdr:col>
      <xdr:colOff>85724</xdr:colOff>
      <xdr:row>29</xdr:row>
      <xdr:rowOff>66675</xdr:rowOff>
    </xdr:from>
    <xdr:to>
      <xdr:col>20</xdr:col>
      <xdr:colOff>161925</xdr:colOff>
      <xdr:row>30</xdr:row>
      <xdr:rowOff>85725</xdr:rowOff>
    </xdr:to>
    <xdr:sp macro="" textlink="Visualizations!M14">
      <xdr:nvSpPr>
        <xdr:cNvPr id="32" name="TextBox 31">
          <a:extLst>
            <a:ext uri="{FF2B5EF4-FFF2-40B4-BE49-F238E27FC236}">
              <a16:creationId xmlns:a16="http://schemas.microsoft.com/office/drawing/2014/main" id="{9000845F-470C-71B9-C5EF-7BC1B7D9C1E8}"/>
            </a:ext>
          </a:extLst>
        </xdr:cNvPr>
        <xdr:cNvSpPr txBox="1"/>
      </xdr:nvSpPr>
      <xdr:spPr>
        <a:xfrm>
          <a:off x="9839324" y="5591175"/>
          <a:ext cx="2514601"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D74760-F7F1-4332-A03A-BC6EDABD3BB8}" type="TxLink">
            <a:rPr lang="en-US" sz="1100" b="1" i="0" u="none" strike="noStrike">
              <a:solidFill>
                <a:srgbClr val="000000"/>
              </a:solidFill>
              <a:latin typeface="Aptos Narrow"/>
            </a:rPr>
            <a:pPr/>
            <a:t>Cash</a:t>
          </a:fld>
          <a:r>
            <a:rPr lang="en-US" sz="1100" b="1" i="0" u="none" strike="noStrike">
              <a:solidFill>
                <a:srgbClr val="000000"/>
              </a:solidFill>
              <a:latin typeface="Aptos Narrow"/>
            </a:rPr>
            <a:t> </a:t>
          </a:r>
          <a:r>
            <a:rPr lang="en-IN"/>
            <a:t>accounted for </a:t>
          </a:r>
          <a:endParaRPr lang="en-IN" sz="1100" b="1"/>
        </a:p>
      </xdr:txBody>
    </xdr:sp>
    <xdr:clientData/>
  </xdr:twoCellAnchor>
  <xdr:twoCellAnchor editAs="absolute">
    <xdr:from>
      <xdr:col>16</xdr:col>
      <xdr:colOff>95249</xdr:colOff>
      <xdr:row>30</xdr:row>
      <xdr:rowOff>76200</xdr:rowOff>
    </xdr:from>
    <xdr:to>
      <xdr:col>18</xdr:col>
      <xdr:colOff>276224</xdr:colOff>
      <xdr:row>31</xdr:row>
      <xdr:rowOff>142875</xdr:rowOff>
    </xdr:to>
    <xdr:sp macro="" textlink="Visualizations!L14">
      <xdr:nvSpPr>
        <xdr:cNvPr id="37" name="TextBox 36">
          <a:extLst>
            <a:ext uri="{FF2B5EF4-FFF2-40B4-BE49-F238E27FC236}">
              <a16:creationId xmlns:a16="http://schemas.microsoft.com/office/drawing/2014/main" id="{967929AE-37B3-A5FA-C545-D883F6725309}"/>
            </a:ext>
          </a:extLst>
        </xdr:cNvPr>
        <xdr:cNvSpPr txBox="1"/>
      </xdr:nvSpPr>
      <xdr:spPr>
        <a:xfrm>
          <a:off x="9848849" y="5791200"/>
          <a:ext cx="1400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EC890A-D759-4496-9692-AD42A099BB78}" type="TxLink">
            <a:rPr lang="en-US" sz="1100" b="1" i="0" u="none" strike="noStrike">
              <a:solidFill>
                <a:srgbClr val="000000"/>
              </a:solidFill>
              <a:latin typeface="Aptos Narrow"/>
            </a:rPr>
            <a:pPr/>
            <a:t>30.40%</a:t>
          </a:fld>
          <a:r>
            <a:rPr lang="en-US" sz="1100" b="1" i="0" u="none" strike="noStrike">
              <a:solidFill>
                <a:srgbClr val="000000"/>
              </a:solidFill>
              <a:latin typeface="Aptos Narrow"/>
            </a:rPr>
            <a:t>  </a:t>
          </a:r>
          <a:r>
            <a:rPr lang="en-IN"/>
            <a:t> transactions</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303.635525578706" createdVersion="8" refreshedVersion="8" minRefreshableVersion="3" recordCount="250" xr:uid="{F84F8820-239E-4CBE-BF31-7D3C6ED73069}">
  <cacheSource type="worksheet">
    <worksheetSource ref="A1:O251" sheet="Raw Data"/>
  </cacheSource>
  <cacheFields count="17">
    <cacheField name="Transaction_ID" numFmtId="0">
      <sharedItems count="250">
        <s v="TRX0001"/>
        <s v="TRX0002"/>
        <s v="TRX0003"/>
        <s v="TRX0004"/>
        <s v="TRX0005"/>
        <s v="TRX0006"/>
        <s v="TRX0007"/>
        <s v="TRX0008"/>
        <s v="TRX0009"/>
        <s v="TRX0010"/>
        <s v="TRX0011"/>
        <s v="TRX0012"/>
        <s v="TRX0013"/>
        <s v="TRX0014"/>
        <s v="TRX0015"/>
        <s v="TRX0016"/>
        <s v="TRX0017"/>
        <s v="TRX0018"/>
        <s v="TRX0019"/>
        <s v="TRX0020"/>
        <s v="TRX0021"/>
        <s v="TRX0022"/>
        <s v="TRX0023"/>
        <s v="TRX0024"/>
        <s v="TRX0025"/>
        <s v="TRX0026"/>
        <s v="TRX0027"/>
        <s v="TRX0028"/>
        <s v="TRX0029"/>
        <s v="TRX0030"/>
        <s v="TRX0031"/>
        <s v="TRX0032"/>
        <s v="TRX0033"/>
        <s v="TRX0034"/>
        <s v="TRX0035"/>
        <s v="TRX0036"/>
        <s v="TRX0037"/>
        <s v="TRX0038"/>
        <s v="TRX0039"/>
        <s v="TRX0040"/>
        <s v="TRX0041"/>
        <s v="TRX0042"/>
        <s v="TRX0043"/>
        <s v="TRX0044"/>
        <s v="TRX0045"/>
        <s v="TRX0046"/>
        <s v="TRX0047"/>
        <s v="TRX0048"/>
        <s v="TRX0049"/>
        <s v="TRX0050"/>
        <s v="TRX0051"/>
        <s v="TRX0052"/>
        <s v="TRX0053"/>
        <s v="TRX0054"/>
        <s v="TRX0055"/>
        <s v="TRX0056"/>
        <s v="TRX0057"/>
        <s v="TRX0058"/>
        <s v="TRX0059"/>
        <s v="TRX0060"/>
        <s v="TRX0061"/>
        <s v="TRX0062"/>
        <s v="TRX0063"/>
        <s v="TRX0064"/>
        <s v="TRX0065"/>
        <s v="TRX0066"/>
        <s v="TRX0067"/>
        <s v="TRX0068"/>
        <s v="TRX0069"/>
        <s v="TRX0070"/>
        <s v="TRX0071"/>
        <s v="TRX0072"/>
        <s v="TRX0073"/>
        <s v="TRX0074"/>
        <s v="TRX0075"/>
        <s v="TRX0076"/>
        <s v="TRX0077"/>
        <s v="TRX0078"/>
        <s v="TRX0079"/>
        <s v="TRX0080"/>
        <s v="TRX0081"/>
        <s v="TRX0082"/>
        <s v="TRX0083"/>
        <s v="TRX0084"/>
        <s v="TRX0085"/>
        <s v="TRX0086"/>
        <s v="TRX0087"/>
        <s v="TRX0088"/>
        <s v="TRX0089"/>
        <s v="TRX0090"/>
        <s v="TRX0091"/>
        <s v="TRX0092"/>
        <s v="TRX0093"/>
        <s v="TRX0094"/>
        <s v="TRX0095"/>
        <s v="TRX0096"/>
        <s v="TRX0097"/>
        <s v="TRX0098"/>
        <s v="TRX0099"/>
        <s v="TRX0100"/>
        <s v="TRX0101"/>
        <s v="TRX0102"/>
        <s v="TRX0103"/>
        <s v="TRX0104"/>
        <s v="TRX0105"/>
        <s v="TRX0106"/>
        <s v="TRX0107"/>
        <s v="TRX0108"/>
        <s v="TRX0109"/>
        <s v="TRX0110"/>
        <s v="TRX0111"/>
        <s v="TRX0112"/>
        <s v="TRX0113"/>
        <s v="TRX0114"/>
        <s v="TRX0115"/>
        <s v="TRX0116"/>
        <s v="TRX0117"/>
        <s v="TRX0118"/>
        <s v="TRX0119"/>
        <s v="TRX0120"/>
        <s v="TRX0121"/>
        <s v="TRX0122"/>
        <s v="TRX0123"/>
        <s v="TRX0124"/>
        <s v="TRX0125"/>
        <s v="TRX0126"/>
        <s v="TRX0127"/>
        <s v="TRX0128"/>
        <s v="TRX0129"/>
        <s v="TRX0130"/>
        <s v="TRX0131"/>
        <s v="TRX0132"/>
        <s v="TRX0133"/>
        <s v="TRX0134"/>
        <s v="TRX0135"/>
        <s v="TRX0136"/>
        <s v="TRX0137"/>
        <s v="TRX0138"/>
        <s v="TRX0139"/>
        <s v="TRX0140"/>
        <s v="TRX0141"/>
        <s v="TRX0142"/>
        <s v="TRX0143"/>
        <s v="TRX0144"/>
        <s v="TRX0145"/>
        <s v="TRX0146"/>
        <s v="TRX0147"/>
        <s v="TRX0148"/>
        <s v="TRX0149"/>
        <s v="TRX0150"/>
        <s v="TRX0151"/>
        <s v="TRX0152"/>
        <s v="TRX0153"/>
        <s v="TRX0154"/>
        <s v="TRX0155"/>
        <s v="TRX0156"/>
        <s v="TRX0157"/>
        <s v="TRX0158"/>
        <s v="TRX0159"/>
        <s v="TRX0160"/>
        <s v="TRX0161"/>
        <s v="TRX0162"/>
        <s v="TRX0163"/>
        <s v="TRX0164"/>
        <s v="TRX0165"/>
        <s v="TRX0166"/>
        <s v="TRX0167"/>
        <s v="TRX0168"/>
        <s v="TRX0169"/>
        <s v="TRX0170"/>
        <s v="TRX0171"/>
        <s v="TRX0172"/>
        <s v="TRX0173"/>
        <s v="TRX0174"/>
        <s v="TRX0175"/>
        <s v="TRX0176"/>
        <s v="TRX0177"/>
        <s v="TRX0178"/>
        <s v="TRX0179"/>
        <s v="TRX0180"/>
        <s v="TRX0181"/>
        <s v="TRX0182"/>
        <s v="TRX0183"/>
        <s v="TRX0184"/>
        <s v="TRX0185"/>
        <s v="TRX0186"/>
        <s v="TRX0187"/>
        <s v="TRX0188"/>
        <s v="TRX0189"/>
        <s v="TRX0190"/>
        <s v="TRX0191"/>
        <s v="TRX0192"/>
        <s v="TRX0193"/>
        <s v="TRX0194"/>
        <s v="TRX0195"/>
        <s v="TRX0196"/>
        <s v="TRX0197"/>
        <s v="TRX0198"/>
        <s v="TRX0199"/>
        <s v="TRX0200"/>
        <s v="TRX0201"/>
        <s v="TRX0202"/>
        <s v="TRX0203"/>
        <s v="TRX0204"/>
        <s v="TRX0205"/>
        <s v="TRX0206"/>
        <s v="TRX0207"/>
        <s v="TRX0208"/>
        <s v="TRX0209"/>
        <s v="TRX0210"/>
        <s v="TRX0211"/>
        <s v="TRX0212"/>
        <s v="TRX0213"/>
        <s v="TRX0214"/>
        <s v="TRX0215"/>
        <s v="TRX0216"/>
        <s v="TRX0217"/>
        <s v="TRX0218"/>
        <s v="TRX0219"/>
        <s v="TRX0220"/>
        <s v="TRX0221"/>
        <s v="TRX0222"/>
        <s v="TRX0223"/>
        <s v="TRX0224"/>
        <s v="TRX0225"/>
        <s v="TRX0226"/>
        <s v="TRX0227"/>
        <s v="TRX0228"/>
        <s v="TRX0229"/>
        <s v="TRX0230"/>
        <s v="TRX0231"/>
        <s v="TRX0232"/>
        <s v="TRX0233"/>
        <s v="TRX0234"/>
        <s v="TRX0235"/>
        <s v="TRX0236"/>
        <s v="TRX0237"/>
        <s v="TRX0238"/>
        <s v="TRX0239"/>
        <s v="TRX0240"/>
        <s v="TRX0241"/>
        <s v="TRX0242"/>
        <s v="TRX0243"/>
        <s v="TRX0244"/>
        <s v="TRX0245"/>
        <s v="TRX0246"/>
        <s v="TRX0247"/>
        <s v="TRX0248"/>
        <s v="TRX0249"/>
        <s v="TRX0250"/>
      </sharedItems>
    </cacheField>
    <cacheField name="Date" numFmtId="14">
      <sharedItems containsSemiMixedTypes="0" containsNonDate="0" containsDate="1" containsString="0" minDate="2024-04-11T00:00:00" maxDate="2025-04-12T00:00:00" count="162">
        <d v="2024-08-24T00:00:00"/>
        <d v="2024-07-28T00:00:00"/>
        <d v="2025-03-21T00:00:00"/>
        <d v="2024-05-12T00:00:00"/>
        <d v="2024-09-15T00:00:00"/>
        <d v="2024-07-25T00:00:00"/>
        <d v="2024-06-26T00:00:00"/>
        <d v="2024-12-22T00:00:00"/>
        <d v="2024-10-23T00:00:00"/>
        <d v="2025-01-31T00:00:00"/>
        <d v="2025-02-08T00:00:00"/>
        <d v="2024-11-26T00:00:00"/>
        <d v="2025-03-18T00:00:00"/>
        <d v="2024-05-28T00:00:00"/>
        <d v="2025-03-08T00:00:00"/>
        <d v="2024-11-04T00:00:00"/>
        <d v="2024-07-11T00:00:00"/>
        <d v="2025-03-23T00:00:00"/>
        <d v="2024-08-13T00:00:00"/>
        <d v="2024-05-23T00:00:00"/>
        <d v="2025-01-13T00:00:00"/>
        <d v="2024-04-14T00:00:00"/>
        <d v="2025-02-07T00:00:00"/>
        <d v="2024-06-25T00:00:00"/>
        <d v="2025-01-04T00:00:00"/>
        <d v="2024-08-15T00:00:00"/>
        <d v="2024-12-18T00:00:00"/>
        <d v="2024-05-15T00:00:00"/>
        <d v="2025-01-29T00:00:00"/>
        <d v="2024-08-19T00:00:00"/>
        <d v="2024-12-12T00:00:00"/>
        <d v="2024-11-17T00:00:00"/>
        <d v="2024-10-16T00:00:00"/>
        <d v="2024-11-11T00:00:00"/>
        <d v="2024-12-09T00:00:00"/>
        <d v="2025-03-10T00:00:00"/>
        <d v="2025-04-08T00:00:00"/>
        <d v="2024-05-20T00:00:00"/>
        <d v="2024-05-31T00:00:00"/>
        <d v="2024-04-18T00:00:00"/>
        <d v="2024-06-16T00:00:00"/>
        <d v="2024-12-01T00:00:00"/>
        <d v="2024-12-20T00:00:00"/>
        <d v="2025-02-23T00:00:00"/>
        <d v="2025-02-27T00:00:00"/>
        <d v="2024-04-28T00:00:00"/>
        <d v="2025-03-24T00:00:00"/>
        <d v="2025-01-14T00:00:00"/>
        <d v="2024-07-03T00:00:00"/>
        <d v="2025-03-05T00:00:00"/>
        <d v="2024-09-16T00:00:00"/>
        <d v="2024-10-08T00:00:00"/>
        <d v="2025-01-03T00:00:00"/>
        <d v="2024-11-01T00:00:00"/>
        <d v="2024-08-28T00:00:00"/>
        <d v="2025-01-16T00:00:00"/>
        <d v="2024-11-07T00:00:00"/>
        <d v="2024-06-17T00:00:00"/>
        <d v="2024-05-13T00:00:00"/>
        <d v="2025-04-11T00:00:00"/>
        <d v="2024-08-05T00:00:00"/>
        <d v="2024-12-04T00:00:00"/>
        <d v="2024-04-27T00:00:00"/>
        <d v="2025-04-01T00:00:00"/>
        <d v="2024-05-10T00:00:00"/>
        <d v="2024-09-02T00:00:00"/>
        <d v="2024-09-19T00:00:00"/>
        <d v="2024-10-21T00:00:00"/>
        <d v="2024-07-27T00:00:00"/>
        <d v="2024-12-15T00:00:00"/>
        <d v="2025-02-22T00:00:00"/>
        <d v="2025-01-11T00:00:00"/>
        <d v="2024-10-11T00:00:00"/>
        <d v="2024-07-08T00:00:00"/>
        <d v="2024-06-13T00:00:00"/>
        <d v="2025-02-16T00:00:00"/>
        <d v="2024-11-09T00:00:00"/>
        <d v="2025-01-06T00:00:00"/>
        <d v="2024-04-21T00:00:00"/>
        <d v="2024-06-09T00:00:00"/>
        <d v="2024-07-01T00:00:00"/>
        <d v="2024-07-14T00:00:00"/>
        <d v="2024-09-06T00:00:00"/>
        <d v="2024-08-09T00:00:00"/>
        <d v="2024-06-28T00:00:00"/>
        <d v="2024-09-12T00:00:00"/>
        <d v="2024-11-08T00:00:00"/>
        <d v="2025-01-19T00:00:00"/>
        <d v="2024-09-09T00:00:00"/>
        <d v="2025-04-09T00:00:00"/>
        <d v="2024-06-01T00:00:00"/>
        <d v="2025-02-17T00:00:00"/>
        <d v="2024-09-25T00:00:00"/>
        <d v="2024-06-06T00:00:00"/>
        <d v="2025-01-09T00:00:00"/>
        <d v="2025-01-25T00:00:00"/>
        <d v="2024-06-29T00:00:00"/>
        <d v="2024-09-29T00:00:00"/>
        <d v="2024-05-18T00:00:00"/>
        <d v="2024-07-18T00:00:00"/>
        <d v="2024-04-23T00:00:00"/>
        <d v="2024-07-09T00:00:00"/>
        <d v="2024-12-03T00:00:00"/>
        <d v="2024-04-26T00:00:00"/>
        <d v="2024-04-17T00:00:00"/>
        <d v="2024-08-18T00:00:00"/>
        <d v="2024-12-28T00:00:00"/>
        <d v="2025-04-02T00:00:00"/>
        <d v="2024-11-23T00:00:00"/>
        <d v="2024-10-07T00:00:00"/>
        <d v="2024-12-29T00:00:00"/>
        <d v="2024-11-12T00:00:00"/>
        <d v="2025-03-27T00:00:00"/>
        <d v="2024-10-27T00:00:00"/>
        <d v="2024-04-11T00:00:00"/>
        <d v="2024-10-14T00:00:00"/>
        <d v="2025-01-26T00:00:00"/>
        <d v="2024-11-21T00:00:00"/>
        <d v="2024-09-10T00:00:00"/>
        <d v="2024-07-23T00:00:00"/>
        <d v="2024-12-19T00:00:00"/>
        <d v="2024-10-24T00:00:00"/>
        <d v="2025-02-19T00:00:00"/>
        <d v="2024-07-17T00:00:00"/>
        <d v="2024-12-23T00:00:00"/>
        <d v="2024-10-01T00:00:00"/>
        <d v="2025-03-07T00:00:00"/>
        <d v="2024-08-06T00:00:00"/>
        <d v="2024-09-24T00:00:00"/>
        <d v="2024-09-28T00:00:00"/>
        <d v="2025-02-24T00:00:00"/>
        <d v="2025-02-13T00:00:00"/>
        <d v="2024-10-18T00:00:00"/>
        <d v="2024-07-02T00:00:00"/>
        <d v="2024-05-16T00:00:00"/>
        <d v="2025-03-30T00:00:00"/>
        <d v="2024-12-10T00:00:00"/>
        <d v="2024-05-29T00:00:00"/>
        <d v="2024-05-03T00:00:00"/>
        <d v="2024-08-11T00:00:00"/>
        <d v="2024-11-27T00:00:00"/>
        <d v="2024-12-31T00:00:00"/>
        <d v="2024-06-03T00:00:00"/>
        <d v="2024-09-13T00:00:00"/>
        <d v="2025-03-29T00:00:00"/>
        <d v="2025-02-20T00:00:00"/>
        <d v="2024-07-30T00:00:00"/>
        <d v="2025-02-04T00:00:00"/>
        <d v="2024-06-07T00:00:00"/>
        <d v="2025-01-10T00:00:00"/>
        <d v="2024-09-03T00:00:00"/>
        <d v="2025-03-04T00:00:00"/>
        <d v="2025-03-02T00:00:00"/>
        <d v="2024-04-30T00:00:00"/>
        <d v="2024-05-22T00:00:00"/>
        <d v="2024-08-22T00:00:00"/>
        <d v="2024-05-01T00:00:00"/>
        <d v="2024-05-04T00:00:00"/>
        <d v="2024-07-24T00:00:00"/>
        <d v="2024-05-26T00:00:00"/>
        <d v="2024-08-30T00:00:00"/>
        <d v="2024-07-31T00:00:00"/>
      </sharedItems>
      <fieldGroup par="16"/>
    </cacheField>
    <cacheField name="Customer_ID" numFmtId="0">
      <sharedItems count="50">
        <s v="CUST039"/>
        <s v="CUST019"/>
        <s v="CUST002"/>
        <s v="CUST012"/>
        <s v="CUST042"/>
        <s v="CUST007"/>
        <s v="CUST009"/>
        <s v="CUST004"/>
        <s v="CUST026"/>
        <s v="CUST040"/>
        <s v="CUST045"/>
        <s v="CUST024"/>
        <s v="CUST033"/>
        <s v="CUST008"/>
        <s v="CUST035"/>
        <s v="CUST013"/>
        <s v="CUST023"/>
        <s v="CUST006"/>
        <s v="CUST025"/>
        <s v="CUST049"/>
        <s v="CUST037"/>
        <s v="CUST028"/>
        <s v="CUST017"/>
        <s v="CUST011"/>
        <s v="CUST036"/>
        <s v="CUST041"/>
        <s v="CUST048"/>
        <s v="CUST022"/>
        <s v="CUST021"/>
        <s v="CUST046"/>
        <s v="CUST029"/>
        <s v="CUST003"/>
        <s v="CUST001"/>
        <s v="CUST032"/>
        <s v="CUST043"/>
        <s v="CUST016"/>
        <s v="CUST047"/>
        <s v="CUST030"/>
        <s v="CUST031"/>
        <s v="CUST044"/>
        <s v="CUST020"/>
        <s v="CUST018"/>
        <s v="CUST005"/>
        <s v="CUST050"/>
        <s v="CUST034"/>
        <s v="CUST010"/>
        <s v="CUST015"/>
        <s v="CUST014"/>
        <s v="CUST027"/>
        <s v="CUST038"/>
      </sharedItems>
    </cacheField>
    <cacheField name="Customer_Name" numFmtId="0">
      <sharedItems count="50">
        <s v="Lawrence Reed"/>
        <s v="Daniel King"/>
        <s v="Emma Wilson"/>
        <s v="Patricia Moore"/>
        <s v="Ruth Brooks"/>
        <s v="David Martinez"/>
        <s v="Robert Thomas"/>
        <s v="Sarah Davis"/>
        <s v="Karen Hill"/>
        <s v="Sharon Butler"/>
        <s v="Douglas Watson"/>
        <s v="Dorothy Nelson"/>
        <s v="Frank Torres"/>
        <s v="Jennifer Taylor"/>
        <s v="Harry Morgan"/>
        <s v="Joseph Jackson"/>
        <s v="Paul Baker"/>
        <s v="Lisa Anderson"/>
        <s v="Mark Carter"/>
        <s v="Raymond Ross"/>
        <s v="Arthur Edwards"/>
        <s v="Betty Campbell"/>
        <s v="Charles Allen"/>
        <s v="William White"/>
        <s v="Nancy Collins"/>
        <s v="Peter Richardson"/>
        <s v="Virginia Sanders"/>
        <s v="Susan Green"/>
        <s v="Kevin Scott"/>
        <s v="Kathleen Bennett"/>
        <s v="Edward Mitchell"/>
        <s v="Michael Brown"/>
        <s v="John Smith"/>
        <s v="Sandra Phillips"/>
        <s v="Dennis Gray"/>
        <s v="Elizabeth Hall"/>
        <s v="Gerald Murphy"/>
        <s v="Helen Roberts"/>
        <s v="Steven Turner"/>
        <s v="Cynthia Price"/>
        <s v="Margaret Wright"/>
        <s v="Barbara Young"/>
        <s v="James Johnson"/>
        <s v="Julie Foster"/>
        <s v="Carol Evans"/>
        <s v="Maria Garcia"/>
        <s v="Richard Lee"/>
        <s v="Linda Martin"/>
        <s v="George Adams"/>
        <s v="Michelle Rogers"/>
      </sharedItems>
    </cacheField>
    <cacheField name="Product_ID" numFmtId="0">
      <sharedItems/>
    </cacheField>
    <cacheField name="Product_Name" numFmtId="0">
      <sharedItems count="10">
        <s v="Coffee Maker"/>
        <s v="Desk"/>
        <s v="Bookshelf"/>
        <s v="Keyboard"/>
        <s v="Headphones"/>
        <s v="Blender"/>
        <s v="Smartphone"/>
        <s v="Monitor"/>
        <s v="Laptop"/>
        <s v="Office Chair"/>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Debit Card"/>
        <s v="Credit Card"/>
        <s v="PayPal"/>
      </sharedItems>
    </cacheField>
    <cacheField name="Region" numFmtId="0">
      <sharedItems count="5">
        <s v="Central"/>
        <s v="West"/>
        <s v="North"/>
        <s v="East"/>
        <s v="South"/>
      </sharedItems>
    </cacheField>
    <cacheField name="Customer_Segment" numFmtId="0">
      <sharedItems count="3">
        <s v="Premium"/>
        <s v="Basic"/>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239.97"/>
        <n v="899.97"/>
        <n v="299.98"/>
        <n v="449.95"/>
        <n v="599.96"/>
        <n v="119.98"/>
        <n v="179.98"/>
        <n v="449.97"/>
        <n v="1399.98"/>
        <n v="2799.96"/>
        <n v="299.95"/>
        <n v="1249.95"/>
        <n v="2699.97"/>
        <n v="3499.95"/>
        <n v="4499.95"/>
        <n v="149.99"/>
        <n v="299.99"/>
        <n v="749.97"/>
        <n v="359.96"/>
        <n v="899.99"/>
        <n v="999.95"/>
        <n v="3599.96"/>
        <n v="1799.98"/>
        <n v="319.95999999999998"/>
        <n v="499.98"/>
        <n v="249.99"/>
        <n v="1499.95"/>
        <n v="79.989999999999995"/>
        <n v="179.97"/>
        <n v="699.99"/>
        <n v="599.98"/>
        <n v="89.99"/>
        <n v="799.96"/>
        <n v="269.97000000000003"/>
        <n v="59.99"/>
        <n v="399.95"/>
        <n v="749.95"/>
        <n v="999.96"/>
        <n v="599.97"/>
        <n v="239.96"/>
        <n v="399.98"/>
        <n v="2099.9699999999998"/>
        <n v="199.99"/>
        <n v="1199.96"/>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616882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s v="P004"/>
    <x v="0"/>
    <s v="Appliances"/>
    <n v="3"/>
    <n v="79.989999999999995"/>
    <x v="0"/>
    <x v="0"/>
    <x v="0"/>
    <d v="2022-08-06T00:00:00"/>
    <x v="0"/>
  </r>
  <r>
    <x v="1"/>
    <x v="1"/>
    <x v="1"/>
    <x v="1"/>
    <s v="P007"/>
    <x v="1"/>
    <s v="Furniture"/>
    <n v="3"/>
    <n v="299.99"/>
    <x v="0"/>
    <x v="0"/>
    <x v="1"/>
    <d v="2022-06-20T00:00:00"/>
    <x v="1"/>
  </r>
  <r>
    <x v="2"/>
    <x v="2"/>
    <x v="2"/>
    <x v="2"/>
    <s v="P008"/>
    <x v="2"/>
    <s v="Furniture"/>
    <n v="2"/>
    <n v="149.99"/>
    <x v="0"/>
    <x v="1"/>
    <x v="0"/>
    <d v="2023-11-03T00:00:00"/>
    <x v="2"/>
  </r>
  <r>
    <x v="3"/>
    <x v="3"/>
    <x v="3"/>
    <x v="3"/>
    <s v="P010"/>
    <x v="3"/>
    <s v="Electronics"/>
    <n v="5"/>
    <n v="89.99"/>
    <x v="0"/>
    <x v="2"/>
    <x v="0"/>
    <d v="2022-12-24T00:00:00"/>
    <x v="3"/>
  </r>
  <r>
    <x v="4"/>
    <x v="4"/>
    <x v="4"/>
    <x v="4"/>
    <s v="P003"/>
    <x v="4"/>
    <s v="Electronics"/>
    <n v="4"/>
    <n v="149.99"/>
    <x v="0"/>
    <x v="2"/>
    <x v="1"/>
    <d v="2022-12-14T00:00:00"/>
    <x v="4"/>
  </r>
  <r>
    <x v="5"/>
    <x v="5"/>
    <x v="5"/>
    <x v="5"/>
    <s v="P005"/>
    <x v="5"/>
    <s v="Appliances"/>
    <n v="2"/>
    <n v="59.99"/>
    <x v="0"/>
    <x v="2"/>
    <x v="2"/>
    <d v="2023-08-14T00:00:00"/>
    <x v="5"/>
  </r>
  <r>
    <x v="6"/>
    <x v="6"/>
    <x v="6"/>
    <x v="6"/>
    <s v="P010"/>
    <x v="3"/>
    <s v="Electronics"/>
    <n v="2"/>
    <n v="89.99"/>
    <x v="0"/>
    <x v="1"/>
    <x v="1"/>
    <d v="2021-08-30T00:00:00"/>
    <x v="6"/>
  </r>
  <r>
    <x v="7"/>
    <x v="7"/>
    <x v="5"/>
    <x v="5"/>
    <s v="P008"/>
    <x v="2"/>
    <s v="Furniture"/>
    <n v="3"/>
    <n v="149.99"/>
    <x v="1"/>
    <x v="2"/>
    <x v="2"/>
    <d v="2021-11-22T00:00:00"/>
    <x v="7"/>
  </r>
  <r>
    <x v="8"/>
    <x v="8"/>
    <x v="7"/>
    <x v="7"/>
    <s v="P002"/>
    <x v="6"/>
    <s v="Electronics"/>
    <n v="2"/>
    <n v="699.99"/>
    <x v="0"/>
    <x v="0"/>
    <x v="1"/>
    <d v="2023-03-07T00:00:00"/>
    <x v="8"/>
  </r>
  <r>
    <x v="9"/>
    <x v="9"/>
    <x v="8"/>
    <x v="8"/>
    <s v="P002"/>
    <x v="6"/>
    <s v="Electronics"/>
    <n v="4"/>
    <n v="699.99"/>
    <x v="1"/>
    <x v="1"/>
    <x v="0"/>
    <d v="2022-05-11T00:00:00"/>
    <x v="9"/>
  </r>
  <r>
    <x v="10"/>
    <x v="10"/>
    <x v="9"/>
    <x v="9"/>
    <s v="P005"/>
    <x v="5"/>
    <s v="Appliances"/>
    <n v="5"/>
    <n v="59.99"/>
    <x v="1"/>
    <x v="0"/>
    <x v="2"/>
    <d v="2023-09-08T00:00:00"/>
    <x v="10"/>
  </r>
  <r>
    <x v="11"/>
    <x v="11"/>
    <x v="10"/>
    <x v="10"/>
    <s v="P009"/>
    <x v="7"/>
    <s v="Electronics"/>
    <n v="5"/>
    <n v="249.99"/>
    <x v="2"/>
    <x v="2"/>
    <x v="1"/>
    <d v="2022-11-08T00:00:00"/>
    <x v="11"/>
  </r>
  <r>
    <x v="12"/>
    <x v="2"/>
    <x v="11"/>
    <x v="11"/>
    <s v="P001"/>
    <x v="8"/>
    <s v="Electronics"/>
    <n v="3"/>
    <n v="899.99"/>
    <x v="3"/>
    <x v="2"/>
    <x v="1"/>
    <d v="2023-02-18T00:00:00"/>
    <x v="12"/>
  </r>
  <r>
    <x v="13"/>
    <x v="12"/>
    <x v="12"/>
    <x v="12"/>
    <s v="P005"/>
    <x v="5"/>
    <s v="Appliances"/>
    <n v="2"/>
    <n v="59.99"/>
    <x v="2"/>
    <x v="1"/>
    <x v="1"/>
    <d v="2023-09-24T00:00:00"/>
    <x v="5"/>
  </r>
  <r>
    <x v="14"/>
    <x v="13"/>
    <x v="13"/>
    <x v="13"/>
    <s v="P002"/>
    <x v="6"/>
    <s v="Electronics"/>
    <n v="5"/>
    <n v="699.99"/>
    <x v="3"/>
    <x v="1"/>
    <x v="2"/>
    <d v="2021-07-30T00:00:00"/>
    <x v="13"/>
  </r>
  <r>
    <x v="15"/>
    <x v="14"/>
    <x v="14"/>
    <x v="14"/>
    <s v="P001"/>
    <x v="8"/>
    <s v="Electronics"/>
    <n v="5"/>
    <n v="899.99"/>
    <x v="3"/>
    <x v="3"/>
    <x v="0"/>
    <d v="2024-04-07T00:00:00"/>
    <x v="14"/>
  </r>
  <r>
    <x v="16"/>
    <x v="15"/>
    <x v="8"/>
    <x v="8"/>
    <s v="P007"/>
    <x v="1"/>
    <s v="Furniture"/>
    <n v="3"/>
    <n v="299.99"/>
    <x v="2"/>
    <x v="4"/>
    <x v="2"/>
    <d v="2021-11-02T00:00:00"/>
    <x v="1"/>
  </r>
  <r>
    <x v="17"/>
    <x v="16"/>
    <x v="15"/>
    <x v="15"/>
    <s v="P003"/>
    <x v="4"/>
    <s v="Electronics"/>
    <n v="1"/>
    <n v="149.99"/>
    <x v="0"/>
    <x v="0"/>
    <x v="2"/>
    <d v="2022-12-14T00:00:00"/>
    <x v="15"/>
  </r>
  <r>
    <x v="18"/>
    <x v="17"/>
    <x v="16"/>
    <x v="16"/>
    <s v="P007"/>
    <x v="1"/>
    <s v="Furniture"/>
    <n v="3"/>
    <n v="299.99"/>
    <x v="2"/>
    <x v="1"/>
    <x v="0"/>
    <d v="2023-11-04T00:00:00"/>
    <x v="1"/>
  </r>
  <r>
    <x v="19"/>
    <x v="18"/>
    <x v="5"/>
    <x v="5"/>
    <s v="P003"/>
    <x v="4"/>
    <s v="Electronics"/>
    <n v="4"/>
    <n v="149.99"/>
    <x v="1"/>
    <x v="4"/>
    <x v="0"/>
    <d v="2022-09-16T00:00:00"/>
    <x v="4"/>
  </r>
  <r>
    <x v="20"/>
    <x v="19"/>
    <x v="17"/>
    <x v="17"/>
    <s v="P004"/>
    <x v="0"/>
    <s v="Appliances"/>
    <n v="3"/>
    <n v="79.989999999999995"/>
    <x v="0"/>
    <x v="4"/>
    <x v="1"/>
    <d v="2023-04-30T00:00:00"/>
    <x v="0"/>
  </r>
  <r>
    <x v="21"/>
    <x v="20"/>
    <x v="18"/>
    <x v="18"/>
    <s v="P007"/>
    <x v="1"/>
    <s v="Furniture"/>
    <n v="1"/>
    <n v="299.99"/>
    <x v="2"/>
    <x v="2"/>
    <x v="1"/>
    <d v="2021-08-28T00:00:00"/>
    <x v="16"/>
  </r>
  <r>
    <x v="22"/>
    <x v="21"/>
    <x v="15"/>
    <x v="15"/>
    <s v="P009"/>
    <x v="7"/>
    <s v="Electronics"/>
    <n v="3"/>
    <n v="249.99"/>
    <x v="2"/>
    <x v="0"/>
    <x v="0"/>
    <d v="2022-01-14T00:00:00"/>
    <x v="17"/>
  </r>
  <r>
    <x v="23"/>
    <x v="22"/>
    <x v="4"/>
    <x v="4"/>
    <s v="P008"/>
    <x v="2"/>
    <s v="Furniture"/>
    <n v="3"/>
    <n v="149.99"/>
    <x v="1"/>
    <x v="2"/>
    <x v="0"/>
    <d v="2022-01-03T00:00:00"/>
    <x v="7"/>
  </r>
  <r>
    <x v="24"/>
    <x v="23"/>
    <x v="19"/>
    <x v="19"/>
    <s v="P010"/>
    <x v="3"/>
    <s v="Electronics"/>
    <n v="4"/>
    <n v="89.99"/>
    <x v="1"/>
    <x v="4"/>
    <x v="1"/>
    <d v="2023-12-21T00:00:00"/>
    <x v="18"/>
  </r>
  <r>
    <x v="25"/>
    <x v="24"/>
    <x v="20"/>
    <x v="20"/>
    <s v="P001"/>
    <x v="8"/>
    <s v="Electronics"/>
    <n v="1"/>
    <n v="899.99"/>
    <x v="3"/>
    <x v="2"/>
    <x v="2"/>
    <d v="2022-07-10T00:00:00"/>
    <x v="19"/>
  </r>
  <r>
    <x v="26"/>
    <x v="25"/>
    <x v="21"/>
    <x v="21"/>
    <s v="P006"/>
    <x v="9"/>
    <s v="Furniture"/>
    <n v="5"/>
    <n v="199.99"/>
    <x v="0"/>
    <x v="2"/>
    <x v="0"/>
    <d v="2023-03-06T00:00:00"/>
    <x v="20"/>
  </r>
  <r>
    <x v="27"/>
    <x v="26"/>
    <x v="2"/>
    <x v="2"/>
    <s v="P005"/>
    <x v="5"/>
    <s v="Appliances"/>
    <n v="2"/>
    <n v="59.99"/>
    <x v="0"/>
    <x v="1"/>
    <x v="1"/>
    <d v="2023-09-22T00:00:00"/>
    <x v="5"/>
  </r>
  <r>
    <x v="28"/>
    <x v="27"/>
    <x v="22"/>
    <x v="22"/>
    <s v="P006"/>
    <x v="9"/>
    <s v="Furniture"/>
    <n v="5"/>
    <n v="199.99"/>
    <x v="0"/>
    <x v="4"/>
    <x v="2"/>
    <d v="2021-08-04T00:00:00"/>
    <x v="20"/>
  </r>
  <r>
    <x v="29"/>
    <x v="28"/>
    <x v="23"/>
    <x v="23"/>
    <s v="P001"/>
    <x v="8"/>
    <s v="Electronics"/>
    <n v="4"/>
    <n v="899.99"/>
    <x v="3"/>
    <x v="0"/>
    <x v="1"/>
    <d v="2022-06-22T00:00:00"/>
    <x v="21"/>
  </r>
  <r>
    <x v="30"/>
    <x v="29"/>
    <x v="24"/>
    <x v="24"/>
    <s v="P003"/>
    <x v="4"/>
    <s v="Electronics"/>
    <n v="3"/>
    <n v="149.99"/>
    <x v="3"/>
    <x v="3"/>
    <x v="1"/>
    <d v="2022-01-13T00:00:00"/>
    <x v="7"/>
  </r>
  <r>
    <x v="31"/>
    <x v="30"/>
    <x v="25"/>
    <x v="25"/>
    <s v="P001"/>
    <x v="8"/>
    <s v="Electronics"/>
    <n v="2"/>
    <n v="899.99"/>
    <x v="0"/>
    <x v="2"/>
    <x v="1"/>
    <d v="2021-07-29T00:00:00"/>
    <x v="22"/>
  </r>
  <r>
    <x v="32"/>
    <x v="31"/>
    <x v="18"/>
    <x v="18"/>
    <s v="P002"/>
    <x v="6"/>
    <s v="Electronics"/>
    <n v="2"/>
    <n v="699.99"/>
    <x v="3"/>
    <x v="1"/>
    <x v="2"/>
    <d v="2022-07-28T00:00:00"/>
    <x v="8"/>
  </r>
  <r>
    <x v="33"/>
    <x v="32"/>
    <x v="19"/>
    <x v="19"/>
    <s v="P002"/>
    <x v="6"/>
    <s v="Electronics"/>
    <n v="4"/>
    <n v="699.99"/>
    <x v="2"/>
    <x v="0"/>
    <x v="1"/>
    <d v="2024-04-03T00:00:00"/>
    <x v="9"/>
  </r>
  <r>
    <x v="34"/>
    <x v="33"/>
    <x v="25"/>
    <x v="25"/>
    <s v="P003"/>
    <x v="4"/>
    <s v="Electronics"/>
    <n v="3"/>
    <n v="149.99"/>
    <x v="0"/>
    <x v="2"/>
    <x v="1"/>
    <d v="2022-07-27T00:00:00"/>
    <x v="7"/>
  </r>
  <r>
    <x v="35"/>
    <x v="34"/>
    <x v="13"/>
    <x v="13"/>
    <s v="P004"/>
    <x v="0"/>
    <s v="Appliances"/>
    <n v="4"/>
    <n v="79.989999999999995"/>
    <x v="1"/>
    <x v="3"/>
    <x v="2"/>
    <d v="2022-12-26T00:00:00"/>
    <x v="23"/>
  </r>
  <r>
    <x v="36"/>
    <x v="0"/>
    <x v="14"/>
    <x v="14"/>
    <s v="P009"/>
    <x v="7"/>
    <s v="Electronics"/>
    <n v="2"/>
    <n v="249.99"/>
    <x v="0"/>
    <x v="4"/>
    <x v="2"/>
    <d v="2022-01-11T00:00:00"/>
    <x v="24"/>
  </r>
  <r>
    <x v="37"/>
    <x v="35"/>
    <x v="14"/>
    <x v="14"/>
    <s v="P009"/>
    <x v="7"/>
    <s v="Electronics"/>
    <n v="1"/>
    <n v="249.99"/>
    <x v="0"/>
    <x v="2"/>
    <x v="2"/>
    <d v="2023-07-10T00:00:00"/>
    <x v="25"/>
  </r>
  <r>
    <x v="38"/>
    <x v="36"/>
    <x v="26"/>
    <x v="26"/>
    <s v="P004"/>
    <x v="0"/>
    <s v="Appliances"/>
    <n v="3"/>
    <n v="79.989999999999995"/>
    <x v="2"/>
    <x v="2"/>
    <x v="1"/>
    <d v="2021-11-11T00:00:00"/>
    <x v="0"/>
  </r>
  <r>
    <x v="39"/>
    <x v="3"/>
    <x v="27"/>
    <x v="27"/>
    <s v="P007"/>
    <x v="1"/>
    <s v="Furniture"/>
    <n v="5"/>
    <n v="299.99"/>
    <x v="3"/>
    <x v="3"/>
    <x v="1"/>
    <d v="2023-08-30T00:00:00"/>
    <x v="26"/>
  </r>
  <r>
    <x v="40"/>
    <x v="37"/>
    <x v="28"/>
    <x v="28"/>
    <s v="P001"/>
    <x v="8"/>
    <s v="Electronics"/>
    <n v="1"/>
    <n v="899.99"/>
    <x v="2"/>
    <x v="1"/>
    <x v="0"/>
    <d v="2022-01-17T00:00:00"/>
    <x v="19"/>
  </r>
  <r>
    <x v="41"/>
    <x v="38"/>
    <x v="1"/>
    <x v="1"/>
    <s v="P004"/>
    <x v="0"/>
    <s v="Appliances"/>
    <n v="1"/>
    <n v="79.989999999999995"/>
    <x v="0"/>
    <x v="2"/>
    <x v="2"/>
    <d v="2022-12-22T00:00:00"/>
    <x v="27"/>
  </r>
  <r>
    <x v="42"/>
    <x v="39"/>
    <x v="29"/>
    <x v="29"/>
    <s v="P005"/>
    <x v="5"/>
    <s v="Appliances"/>
    <n v="3"/>
    <n v="59.99"/>
    <x v="0"/>
    <x v="2"/>
    <x v="0"/>
    <d v="2023-07-07T00:00:00"/>
    <x v="28"/>
  </r>
  <r>
    <x v="43"/>
    <x v="40"/>
    <x v="30"/>
    <x v="30"/>
    <s v="P001"/>
    <x v="8"/>
    <s v="Electronics"/>
    <n v="5"/>
    <n v="899.99"/>
    <x v="3"/>
    <x v="3"/>
    <x v="0"/>
    <d v="2023-12-18T00:00:00"/>
    <x v="14"/>
  </r>
  <r>
    <x v="44"/>
    <x v="41"/>
    <x v="28"/>
    <x v="28"/>
    <s v="P007"/>
    <x v="1"/>
    <s v="Furniture"/>
    <n v="3"/>
    <n v="299.99"/>
    <x v="0"/>
    <x v="4"/>
    <x v="0"/>
    <d v="2022-04-08T00:00:00"/>
    <x v="1"/>
  </r>
  <r>
    <x v="45"/>
    <x v="42"/>
    <x v="31"/>
    <x v="31"/>
    <s v="P008"/>
    <x v="2"/>
    <s v="Furniture"/>
    <n v="2"/>
    <n v="149.99"/>
    <x v="0"/>
    <x v="4"/>
    <x v="1"/>
    <d v="2023-11-09T00:00:00"/>
    <x v="2"/>
  </r>
  <r>
    <x v="46"/>
    <x v="43"/>
    <x v="4"/>
    <x v="4"/>
    <s v="P002"/>
    <x v="6"/>
    <s v="Electronics"/>
    <n v="1"/>
    <n v="699.99"/>
    <x v="0"/>
    <x v="2"/>
    <x v="0"/>
    <d v="2022-01-22T00:00:00"/>
    <x v="29"/>
  </r>
  <r>
    <x v="47"/>
    <x v="44"/>
    <x v="26"/>
    <x v="26"/>
    <s v="P007"/>
    <x v="1"/>
    <s v="Furniture"/>
    <n v="2"/>
    <n v="299.99"/>
    <x v="3"/>
    <x v="4"/>
    <x v="1"/>
    <d v="2022-01-15T00:00:00"/>
    <x v="30"/>
  </r>
  <r>
    <x v="48"/>
    <x v="45"/>
    <x v="18"/>
    <x v="18"/>
    <s v="P008"/>
    <x v="2"/>
    <s v="Furniture"/>
    <n v="4"/>
    <n v="149.99"/>
    <x v="1"/>
    <x v="2"/>
    <x v="0"/>
    <d v="2024-03-23T00:00:00"/>
    <x v="4"/>
  </r>
  <r>
    <x v="49"/>
    <x v="46"/>
    <x v="32"/>
    <x v="32"/>
    <s v="P008"/>
    <x v="2"/>
    <s v="Furniture"/>
    <n v="4"/>
    <n v="149.99"/>
    <x v="3"/>
    <x v="1"/>
    <x v="2"/>
    <d v="2021-12-30T00:00:00"/>
    <x v="4"/>
  </r>
  <r>
    <x v="50"/>
    <x v="47"/>
    <x v="33"/>
    <x v="33"/>
    <s v="P007"/>
    <x v="1"/>
    <s v="Furniture"/>
    <n v="3"/>
    <n v="299.99"/>
    <x v="2"/>
    <x v="4"/>
    <x v="1"/>
    <d v="2023-10-05T00:00:00"/>
    <x v="1"/>
  </r>
  <r>
    <x v="51"/>
    <x v="48"/>
    <x v="27"/>
    <x v="27"/>
    <s v="P010"/>
    <x v="3"/>
    <s v="Electronics"/>
    <n v="1"/>
    <n v="89.99"/>
    <x v="0"/>
    <x v="4"/>
    <x v="2"/>
    <d v="2022-02-19T00:00:00"/>
    <x v="31"/>
  </r>
  <r>
    <x v="52"/>
    <x v="49"/>
    <x v="34"/>
    <x v="34"/>
    <s v="P005"/>
    <x v="5"/>
    <s v="Appliances"/>
    <n v="5"/>
    <n v="59.99"/>
    <x v="0"/>
    <x v="1"/>
    <x v="0"/>
    <d v="2023-12-31T00:00:00"/>
    <x v="10"/>
  </r>
  <r>
    <x v="53"/>
    <x v="50"/>
    <x v="7"/>
    <x v="7"/>
    <s v="P006"/>
    <x v="9"/>
    <s v="Furniture"/>
    <n v="4"/>
    <n v="199.99"/>
    <x v="1"/>
    <x v="3"/>
    <x v="1"/>
    <d v="2021-09-19T00:00:00"/>
    <x v="32"/>
  </r>
  <r>
    <x v="54"/>
    <x v="51"/>
    <x v="35"/>
    <x v="35"/>
    <s v="P002"/>
    <x v="6"/>
    <s v="Electronics"/>
    <n v="2"/>
    <n v="699.99"/>
    <x v="1"/>
    <x v="3"/>
    <x v="0"/>
    <d v="2023-12-14T00:00:00"/>
    <x v="8"/>
  </r>
  <r>
    <x v="55"/>
    <x v="52"/>
    <x v="1"/>
    <x v="1"/>
    <s v="P010"/>
    <x v="3"/>
    <s v="Electronics"/>
    <n v="2"/>
    <n v="89.99"/>
    <x v="2"/>
    <x v="4"/>
    <x v="0"/>
    <d v="2022-01-03T00:00:00"/>
    <x v="6"/>
  </r>
  <r>
    <x v="56"/>
    <x v="53"/>
    <x v="16"/>
    <x v="16"/>
    <s v="P009"/>
    <x v="7"/>
    <s v="Electronics"/>
    <n v="5"/>
    <n v="249.99"/>
    <x v="2"/>
    <x v="4"/>
    <x v="2"/>
    <d v="2022-11-16T00:00:00"/>
    <x v="11"/>
  </r>
  <r>
    <x v="57"/>
    <x v="54"/>
    <x v="36"/>
    <x v="36"/>
    <s v="P002"/>
    <x v="6"/>
    <s v="Electronics"/>
    <n v="1"/>
    <n v="699.99"/>
    <x v="0"/>
    <x v="0"/>
    <x v="0"/>
    <d v="2021-10-28T00:00:00"/>
    <x v="29"/>
  </r>
  <r>
    <x v="58"/>
    <x v="55"/>
    <x v="35"/>
    <x v="35"/>
    <s v="P007"/>
    <x v="1"/>
    <s v="Furniture"/>
    <n v="5"/>
    <n v="299.99"/>
    <x v="1"/>
    <x v="0"/>
    <x v="1"/>
    <d v="2021-08-23T00:00:00"/>
    <x v="26"/>
  </r>
  <r>
    <x v="59"/>
    <x v="56"/>
    <x v="3"/>
    <x v="3"/>
    <s v="P010"/>
    <x v="3"/>
    <s v="Electronics"/>
    <n v="3"/>
    <n v="89.99"/>
    <x v="2"/>
    <x v="2"/>
    <x v="0"/>
    <d v="2021-08-12T00:00:00"/>
    <x v="33"/>
  </r>
  <r>
    <x v="60"/>
    <x v="57"/>
    <x v="21"/>
    <x v="21"/>
    <s v="P005"/>
    <x v="5"/>
    <s v="Appliances"/>
    <n v="1"/>
    <n v="59.99"/>
    <x v="1"/>
    <x v="1"/>
    <x v="0"/>
    <d v="2023-09-21T00:00:00"/>
    <x v="34"/>
  </r>
  <r>
    <x v="61"/>
    <x v="43"/>
    <x v="35"/>
    <x v="35"/>
    <s v="P010"/>
    <x v="3"/>
    <s v="Electronics"/>
    <n v="5"/>
    <n v="89.99"/>
    <x v="3"/>
    <x v="1"/>
    <x v="0"/>
    <d v="2023-08-02T00:00:00"/>
    <x v="3"/>
  </r>
  <r>
    <x v="62"/>
    <x v="58"/>
    <x v="37"/>
    <x v="37"/>
    <s v="P005"/>
    <x v="5"/>
    <s v="Appliances"/>
    <n v="2"/>
    <n v="59.99"/>
    <x v="1"/>
    <x v="0"/>
    <x v="2"/>
    <d v="2023-10-15T00:00:00"/>
    <x v="5"/>
  </r>
  <r>
    <x v="63"/>
    <x v="59"/>
    <x v="38"/>
    <x v="38"/>
    <s v="P010"/>
    <x v="3"/>
    <s v="Electronics"/>
    <n v="3"/>
    <n v="89.99"/>
    <x v="1"/>
    <x v="2"/>
    <x v="0"/>
    <d v="2022-11-13T00:00:00"/>
    <x v="33"/>
  </r>
  <r>
    <x v="64"/>
    <x v="60"/>
    <x v="35"/>
    <x v="35"/>
    <s v="P008"/>
    <x v="2"/>
    <s v="Furniture"/>
    <n v="2"/>
    <n v="149.99"/>
    <x v="2"/>
    <x v="1"/>
    <x v="1"/>
    <d v="2021-12-12T00:00:00"/>
    <x v="2"/>
  </r>
  <r>
    <x v="65"/>
    <x v="61"/>
    <x v="11"/>
    <x v="11"/>
    <s v="P002"/>
    <x v="6"/>
    <s v="Electronics"/>
    <n v="4"/>
    <n v="699.99"/>
    <x v="2"/>
    <x v="2"/>
    <x v="0"/>
    <d v="2022-05-22T00:00:00"/>
    <x v="9"/>
  </r>
  <r>
    <x v="66"/>
    <x v="62"/>
    <x v="34"/>
    <x v="34"/>
    <s v="P005"/>
    <x v="5"/>
    <s v="Appliances"/>
    <n v="3"/>
    <n v="59.99"/>
    <x v="2"/>
    <x v="2"/>
    <x v="2"/>
    <d v="2024-02-29T00:00:00"/>
    <x v="28"/>
  </r>
  <r>
    <x v="67"/>
    <x v="63"/>
    <x v="39"/>
    <x v="39"/>
    <s v="P002"/>
    <x v="6"/>
    <s v="Electronics"/>
    <n v="2"/>
    <n v="699.99"/>
    <x v="3"/>
    <x v="2"/>
    <x v="2"/>
    <d v="2022-02-26T00:00:00"/>
    <x v="8"/>
  </r>
  <r>
    <x v="68"/>
    <x v="9"/>
    <x v="30"/>
    <x v="30"/>
    <s v="P010"/>
    <x v="3"/>
    <s v="Electronics"/>
    <n v="2"/>
    <n v="89.99"/>
    <x v="1"/>
    <x v="4"/>
    <x v="1"/>
    <d v="2022-08-04T00:00:00"/>
    <x v="6"/>
  </r>
  <r>
    <x v="69"/>
    <x v="48"/>
    <x v="5"/>
    <x v="5"/>
    <s v="P004"/>
    <x v="0"/>
    <s v="Appliances"/>
    <n v="5"/>
    <n v="79.989999999999995"/>
    <x v="1"/>
    <x v="0"/>
    <x v="1"/>
    <d v="2023-02-24T00:00:00"/>
    <x v="35"/>
  </r>
  <r>
    <x v="70"/>
    <x v="64"/>
    <x v="24"/>
    <x v="24"/>
    <s v="P009"/>
    <x v="7"/>
    <s v="Electronics"/>
    <n v="5"/>
    <n v="249.99"/>
    <x v="2"/>
    <x v="1"/>
    <x v="2"/>
    <d v="2021-11-25T00:00:00"/>
    <x v="11"/>
  </r>
  <r>
    <x v="71"/>
    <x v="55"/>
    <x v="6"/>
    <x v="6"/>
    <s v="P008"/>
    <x v="2"/>
    <s v="Furniture"/>
    <n v="3"/>
    <n v="149.99"/>
    <x v="2"/>
    <x v="3"/>
    <x v="2"/>
    <d v="2021-07-18T00:00:00"/>
    <x v="7"/>
  </r>
  <r>
    <x v="72"/>
    <x v="31"/>
    <x v="33"/>
    <x v="33"/>
    <s v="P008"/>
    <x v="2"/>
    <s v="Furniture"/>
    <n v="5"/>
    <n v="149.99"/>
    <x v="0"/>
    <x v="2"/>
    <x v="1"/>
    <d v="2022-11-04T00:00:00"/>
    <x v="36"/>
  </r>
  <r>
    <x v="73"/>
    <x v="65"/>
    <x v="16"/>
    <x v="16"/>
    <s v="P009"/>
    <x v="7"/>
    <s v="Electronics"/>
    <n v="1"/>
    <n v="249.99"/>
    <x v="1"/>
    <x v="2"/>
    <x v="0"/>
    <d v="2024-02-10T00:00:00"/>
    <x v="25"/>
  </r>
  <r>
    <x v="74"/>
    <x v="18"/>
    <x v="40"/>
    <x v="40"/>
    <s v="P009"/>
    <x v="7"/>
    <s v="Electronics"/>
    <n v="5"/>
    <n v="249.99"/>
    <x v="3"/>
    <x v="3"/>
    <x v="0"/>
    <d v="2022-08-09T00:00:00"/>
    <x v="11"/>
  </r>
  <r>
    <x v="75"/>
    <x v="33"/>
    <x v="3"/>
    <x v="3"/>
    <s v="P009"/>
    <x v="7"/>
    <s v="Electronics"/>
    <n v="4"/>
    <n v="249.99"/>
    <x v="2"/>
    <x v="1"/>
    <x v="2"/>
    <d v="2022-04-08T00:00:00"/>
    <x v="37"/>
  </r>
  <r>
    <x v="76"/>
    <x v="66"/>
    <x v="1"/>
    <x v="1"/>
    <s v="P010"/>
    <x v="3"/>
    <s v="Electronics"/>
    <n v="5"/>
    <n v="89.99"/>
    <x v="2"/>
    <x v="3"/>
    <x v="0"/>
    <d v="2021-09-07T00:00:00"/>
    <x v="3"/>
  </r>
  <r>
    <x v="77"/>
    <x v="6"/>
    <x v="28"/>
    <x v="28"/>
    <s v="P004"/>
    <x v="0"/>
    <s v="Appliances"/>
    <n v="1"/>
    <n v="79.989999999999995"/>
    <x v="3"/>
    <x v="0"/>
    <x v="0"/>
    <d v="2024-03-01T00:00:00"/>
    <x v="27"/>
  </r>
  <r>
    <x v="78"/>
    <x v="67"/>
    <x v="0"/>
    <x v="0"/>
    <s v="P010"/>
    <x v="3"/>
    <s v="Electronics"/>
    <n v="3"/>
    <n v="89.99"/>
    <x v="3"/>
    <x v="0"/>
    <x v="1"/>
    <d v="2021-12-21T00:00:00"/>
    <x v="33"/>
  </r>
  <r>
    <x v="79"/>
    <x v="68"/>
    <x v="41"/>
    <x v="41"/>
    <s v="P009"/>
    <x v="7"/>
    <s v="Electronics"/>
    <n v="2"/>
    <n v="249.99"/>
    <x v="0"/>
    <x v="2"/>
    <x v="0"/>
    <d v="2023-08-26T00:00:00"/>
    <x v="24"/>
  </r>
  <r>
    <x v="80"/>
    <x v="69"/>
    <x v="5"/>
    <x v="5"/>
    <s v="P008"/>
    <x v="2"/>
    <s v="Furniture"/>
    <n v="1"/>
    <n v="149.99"/>
    <x v="1"/>
    <x v="3"/>
    <x v="2"/>
    <d v="2023-10-01T00:00:00"/>
    <x v="15"/>
  </r>
  <r>
    <x v="81"/>
    <x v="34"/>
    <x v="42"/>
    <x v="42"/>
    <s v="P005"/>
    <x v="5"/>
    <s v="Appliances"/>
    <n v="3"/>
    <n v="59.99"/>
    <x v="0"/>
    <x v="0"/>
    <x v="0"/>
    <d v="2023-05-06T00:00:00"/>
    <x v="28"/>
  </r>
  <r>
    <x v="82"/>
    <x v="70"/>
    <x v="22"/>
    <x v="22"/>
    <s v="P007"/>
    <x v="1"/>
    <s v="Furniture"/>
    <n v="5"/>
    <n v="299.99"/>
    <x v="0"/>
    <x v="1"/>
    <x v="2"/>
    <d v="2023-08-04T00:00:00"/>
    <x v="26"/>
  </r>
  <r>
    <x v="83"/>
    <x v="71"/>
    <x v="38"/>
    <x v="38"/>
    <s v="P003"/>
    <x v="4"/>
    <s v="Electronics"/>
    <n v="4"/>
    <n v="149.99"/>
    <x v="1"/>
    <x v="3"/>
    <x v="2"/>
    <d v="2021-12-06T00:00:00"/>
    <x v="4"/>
  </r>
  <r>
    <x v="84"/>
    <x v="72"/>
    <x v="1"/>
    <x v="1"/>
    <s v="P007"/>
    <x v="1"/>
    <s v="Furniture"/>
    <n v="3"/>
    <n v="299.99"/>
    <x v="2"/>
    <x v="0"/>
    <x v="2"/>
    <d v="2023-09-05T00:00:00"/>
    <x v="1"/>
  </r>
  <r>
    <x v="85"/>
    <x v="73"/>
    <x v="40"/>
    <x v="40"/>
    <s v="P008"/>
    <x v="2"/>
    <s v="Furniture"/>
    <n v="1"/>
    <n v="149.99"/>
    <x v="3"/>
    <x v="2"/>
    <x v="1"/>
    <d v="2021-08-13T00:00:00"/>
    <x v="15"/>
  </r>
  <r>
    <x v="86"/>
    <x v="47"/>
    <x v="21"/>
    <x v="21"/>
    <s v="P009"/>
    <x v="7"/>
    <s v="Electronics"/>
    <n v="4"/>
    <n v="249.99"/>
    <x v="2"/>
    <x v="2"/>
    <x v="0"/>
    <d v="2021-09-21T00:00:00"/>
    <x v="37"/>
  </r>
  <r>
    <x v="87"/>
    <x v="74"/>
    <x v="17"/>
    <x v="17"/>
    <s v="P010"/>
    <x v="3"/>
    <s v="Electronics"/>
    <n v="5"/>
    <n v="89.99"/>
    <x v="0"/>
    <x v="0"/>
    <x v="0"/>
    <d v="2022-01-18T00:00:00"/>
    <x v="3"/>
  </r>
  <r>
    <x v="88"/>
    <x v="75"/>
    <x v="28"/>
    <x v="28"/>
    <s v="P006"/>
    <x v="9"/>
    <s v="Furniture"/>
    <n v="3"/>
    <n v="199.99"/>
    <x v="0"/>
    <x v="0"/>
    <x v="1"/>
    <d v="2022-06-23T00:00:00"/>
    <x v="38"/>
  </r>
  <r>
    <x v="89"/>
    <x v="76"/>
    <x v="40"/>
    <x v="40"/>
    <s v="P009"/>
    <x v="7"/>
    <s v="Electronics"/>
    <n v="1"/>
    <n v="249.99"/>
    <x v="2"/>
    <x v="2"/>
    <x v="0"/>
    <d v="2022-09-24T00:00:00"/>
    <x v="25"/>
  </r>
  <r>
    <x v="90"/>
    <x v="77"/>
    <x v="31"/>
    <x v="31"/>
    <s v="P007"/>
    <x v="1"/>
    <s v="Furniture"/>
    <n v="3"/>
    <n v="299.99"/>
    <x v="0"/>
    <x v="4"/>
    <x v="2"/>
    <d v="2021-08-14T00:00:00"/>
    <x v="1"/>
  </r>
  <r>
    <x v="91"/>
    <x v="78"/>
    <x v="11"/>
    <x v="11"/>
    <s v="P005"/>
    <x v="5"/>
    <s v="Appliances"/>
    <n v="2"/>
    <n v="59.99"/>
    <x v="0"/>
    <x v="1"/>
    <x v="2"/>
    <d v="2022-07-04T00:00:00"/>
    <x v="5"/>
  </r>
  <r>
    <x v="92"/>
    <x v="79"/>
    <x v="43"/>
    <x v="43"/>
    <s v="P005"/>
    <x v="5"/>
    <s v="Appliances"/>
    <n v="4"/>
    <n v="59.99"/>
    <x v="0"/>
    <x v="3"/>
    <x v="2"/>
    <d v="2021-08-27T00:00:00"/>
    <x v="39"/>
  </r>
  <r>
    <x v="93"/>
    <x v="41"/>
    <x v="22"/>
    <x v="22"/>
    <s v="P009"/>
    <x v="7"/>
    <s v="Electronics"/>
    <n v="5"/>
    <n v="249.99"/>
    <x v="0"/>
    <x v="0"/>
    <x v="0"/>
    <d v="2021-10-16T00:00:00"/>
    <x v="11"/>
  </r>
  <r>
    <x v="94"/>
    <x v="8"/>
    <x v="29"/>
    <x v="29"/>
    <s v="P003"/>
    <x v="4"/>
    <s v="Electronics"/>
    <n v="2"/>
    <n v="149.99"/>
    <x v="3"/>
    <x v="0"/>
    <x v="1"/>
    <d v="2021-10-04T00:00:00"/>
    <x v="2"/>
  </r>
  <r>
    <x v="95"/>
    <x v="80"/>
    <x v="2"/>
    <x v="2"/>
    <s v="P010"/>
    <x v="3"/>
    <s v="Electronics"/>
    <n v="2"/>
    <n v="89.99"/>
    <x v="3"/>
    <x v="0"/>
    <x v="0"/>
    <d v="2023-12-15T00:00:00"/>
    <x v="6"/>
  </r>
  <r>
    <x v="96"/>
    <x v="81"/>
    <x v="12"/>
    <x v="12"/>
    <s v="P006"/>
    <x v="9"/>
    <s v="Furniture"/>
    <n v="2"/>
    <n v="199.99"/>
    <x v="0"/>
    <x v="2"/>
    <x v="1"/>
    <d v="2021-12-11T00:00:00"/>
    <x v="40"/>
  </r>
  <r>
    <x v="97"/>
    <x v="18"/>
    <x v="8"/>
    <x v="8"/>
    <s v="P009"/>
    <x v="7"/>
    <s v="Electronics"/>
    <n v="3"/>
    <n v="249.99"/>
    <x v="3"/>
    <x v="2"/>
    <x v="0"/>
    <d v="2021-09-26T00:00:00"/>
    <x v="17"/>
  </r>
  <r>
    <x v="98"/>
    <x v="65"/>
    <x v="44"/>
    <x v="44"/>
    <s v="P009"/>
    <x v="7"/>
    <s v="Electronics"/>
    <n v="1"/>
    <n v="249.99"/>
    <x v="2"/>
    <x v="1"/>
    <x v="0"/>
    <d v="2022-05-04T00:00:00"/>
    <x v="25"/>
  </r>
  <r>
    <x v="99"/>
    <x v="82"/>
    <x v="38"/>
    <x v="38"/>
    <s v="P005"/>
    <x v="5"/>
    <s v="Appliances"/>
    <n v="3"/>
    <n v="59.99"/>
    <x v="2"/>
    <x v="0"/>
    <x v="0"/>
    <d v="2022-06-05T00:00:00"/>
    <x v="28"/>
  </r>
  <r>
    <x v="100"/>
    <x v="83"/>
    <x v="45"/>
    <x v="45"/>
    <s v="P010"/>
    <x v="3"/>
    <s v="Electronics"/>
    <n v="1"/>
    <n v="89.99"/>
    <x v="2"/>
    <x v="2"/>
    <x v="2"/>
    <d v="2024-04-11T00:00:00"/>
    <x v="31"/>
  </r>
  <r>
    <x v="101"/>
    <x v="20"/>
    <x v="10"/>
    <x v="10"/>
    <s v="P004"/>
    <x v="0"/>
    <s v="Appliances"/>
    <n v="1"/>
    <n v="79.989999999999995"/>
    <x v="2"/>
    <x v="4"/>
    <x v="1"/>
    <d v="2024-01-31T00:00:00"/>
    <x v="27"/>
  </r>
  <r>
    <x v="102"/>
    <x v="59"/>
    <x v="0"/>
    <x v="0"/>
    <s v="P010"/>
    <x v="3"/>
    <s v="Electronics"/>
    <n v="2"/>
    <n v="89.99"/>
    <x v="1"/>
    <x v="3"/>
    <x v="1"/>
    <d v="2023-06-11T00:00:00"/>
    <x v="6"/>
  </r>
  <r>
    <x v="103"/>
    <x v="84"/>
    <x v="3"/>
    <x v="3"/>
    <s v="P001"/>
    <x v="8"/>
    <s v="Electronics"/>
    <n v="4"/>
    <n v="899.99"/>
    <x v="2"/>
    <x v="3"/>
    <x v="0"/>
    <d v="2023-03-08T00:00:00"/>
    <x v="21"/>
  </r>
  <r>
    <x v="104"/>
    <x v="22"/>
    <x v="26"/>
    <x v="26"/>
    <s v="P007"/>
    <x v="1"/>
    <s v="Furniture"/>
    <n v="5"/>
    <n v="299.99"/>
    <x v="2"/>
    <x v="4"/>
    <x v="1"/>
    <d v="2023-02-02T00:00:00"/>
    <x v="26"/>
  </r>
  <r>
    <x v="105"/>
    <x v="55"/>
    <x v="0"/>
    <x v="0"/>
    <s v="P006"/>
    <x v="9"/>
    <s v="Furniture"/>
    <n v="4"/>
    <n v="199.99"/>
    <x v="1"/>
    <x v="4"/>
    <x v="2"/>
    <d v="2021-12-14T00:00:00"/>
    <x v="32"/>
  </r>
  <r>
    <x v="106"/>
    <x v="47"/>
    <x v="37"/>
    <x v="37"/>
    <s v="P003"/>
    <x v="4"/>
    <s v="Electronics"/>
    <n v="2"/>
    <n v="149.99"/>
    <x v="0"/>
    <x v="2"/>
    <x v="2"/>
    <d v="2022-12-18T00:00:00"/>
    <x v="2"/>
  </r>
  <r>
    <x v="107"/>
    <x v="85"/>
    <x v="11"/>
    <x v="11"/>
    <s v="P007"/>
    <x v="1"/>
    <s v="Furniture"/>
    <n v="3"/>
    <n v="299.99"/>
    <x v="2"/>
    <x v="0"/>
    <x v="0"/>
    <d v="2021-10-25T00:00:00"/>
    <x v="1"/>
  </r>
  <r>
    <x v="108"/>
    <x v="86"/>
    <x v="45"/>
    <x v="45"/>
    <s v="P008"/>
    <x v="2"/>
    <s v="Furniture"/>
    <n v="2"/>
    <n v="149.99"/>
    <x v="2"/>
    <x v="1"/>
    <x v="0"/>
    <d v="2022-10-14T00:00:00"/>
    <x v="2"/>
  </r>
  <r>
    <x v="109"/>
    <x v="87"/>
    <x v="17"/>
    <x v="17"/>
    <s v="P005"/>
    <x v="5"/>
    <s v="Appliances"/>
    <n v="5"/>
    <n v="59.99"/>
    <x v="1"/>
    <x v="3"/>
    <x v="1"/>
    <d v="2022-03-22T00:00:00"/>
    <x v="10"/>
  </r>
  <r>
    <x v="110"/>
    <x v="66"/>
    <x v="23"/>
    <x v="23"/>
    <s v="P003"/>
    <x v="4"/>
    <s v="Electronics"/>
    <n v="1"/>
    <n v="149.99"/>
    <x v="3"/>
    <x v="3"/>
    <x v="2"/>
    <d v="2021-10-13T00:00:00"/>
    <x v="15"/>
  </r>
  <r>
    <x v="111"/>
    <x v="88"/>
    <x v="13"/>
    <x v="13"/>
    <s v="P004"/>
    <x v="0"/>
    <s v="Appliances"/>
    <n v="4"/>
    <n v="79.989999999999995"/>
    <x v="0"/>
    <x v="2"/>
    <x v="1"/>
    <d v="2021-11-30T00:00:00"/>
    <x v="23"/>
  </r>
  <r>
    <x v="112"/>
    <x v="73"/>
    <x v="31"/>
    <x v="31"/>
    <s v="P002"/>
    <x v="6"/>
    <s v="Electronics"/>
    <n v="2"/>
    <n v="699.99"/>
    <x v="3"/>
    <x v="3"/>
    <x v="0"/>
    <d v="2024-04-07T00:00:00"/>
    <x v="8"/>
  </r>
  <r>
    <x v="113"/>
    <x v="73"/>
    <x v="41"/>
    <x v="41"/>
    <s v="P010"/>
    <x v="3"/>
    <s v="Electronics"/>
    <n v="5"/>
    <n v="89.99"/>
    <x v="1"/>
    <x v="2"/>
    <x v="0"/>
    <d v="2023-08-23T00:00:00"/>
    <x v="3"/>
  </r>
  <r>
    <x v="114"/>
    <x v="40"/>
    <x v="3"/>
    <x v="3"/>
    <s v="P010"/>
    <x v="3"/>
    <s v="Electronics"/>
    <n v="2"/>
    <n v="89.99"/>
    <x v="2"/>
    <x v="4"/>
    <x v="0"/>
    <d v="2021-10-02T00:00:00"/>
    <x v="6"/>
  </r>
  <r>
    <x v="115"/>
    <x v="89"/>
    <x v="6"/>
    <x v="6"/>
    <s v="P010"/>
    <x v="3"/>
    <s v="Electronics"/>
    <n v="1"/>
    <n v="89.99"/>
    <x v="1"/>
    <x v="3"/>
    <x v="1"/>
    <d v="2024-02-24T00:00:00"/>
    <x v="31"/>
  </r>
  <r>
    <x v="116"/>
    <x v="90"/>
    <x v="22"/>
    <x v="22"/>
    <s v="P010"/>
    <x v="3"/>
    <s v="Electronics"/>
    <n v="1"/>
    <n v="89.99"/>
    <x v="0"/>
    <x v="2"/>
    <x v="1"/>
    <d v="2023-08-03T00:00:00"/>
    <x v="31"/>
  </r>
  <r>
    <x v="117"/>
    <x v="91"/>
    <x v="46"/>
    <x v="46"/>
    <s v="P008"/>
    <x v="2"/>
    <s v="Furniture"/>
    <n v="2"/>
    <n v="149.99"/>
    <x v="0"/>
    <x v="4"/>
    <x v="0"/>
    <d v="2022-06-16T00:00:00"/>
    <x v="2"/>
  </r>
  <r>
    <x v="118"/>
    <x v="92"/>
    <x v="47"/>
    <x v="47"/>
    <s v="P008"/>
    <x v="2"/>
    <s v="Furniture"/>
    <n v="3"/>
    <n v="149.99"/>
    <x v="3"/>
    <x v="3"/>
    <x v="1"/>
    <d v="2022-11-21T00:00:00"/>
    <x v="7"/>
  </r>
  <r>
    <x v="119"/>
    <x v="59"/>
    <x v="10"/>
    <x v="10"/>
    <s v="P002"/>
    <x v="6"/>
    <s v="Electronics"/>
    <n v="3"/>
    <n v="699.99"/>
    <x v="3"/>
    <x v="2"/>
    <x v="1"/>
    <d v="2022-12-14T00:00:00"/>
    <x v="41"/>
  </r>
  <r>
    <x v="120"/>
    <x v="93"/>
    <x v="21"/>
    <x v="21"/>
    <s v="P010"/>
    <x v="3"/>
    <s v="Electronics"/>
    <n v="1"/>
    <n v="89.99"/>
    <x v="2"/>
    <x v="4"/>
    <x v="2"/>
    <d v="2022-01-21T00:00:00"/>
    <x v="31"/>
  </r>
  <r>
    <x v="121"/>
    <x v="45"/>
    <x v="18"/>
    <x v="18"/>
    <s v="P001"/>
    <x v="8"/>
    <s v="Electronics"/>
    <n v="4"/>
    <n v="899.99"/>
    <x v="2"/>
    <x v="1"/>
    <x v="2"/>
    <d v="2024-02-05T00:00:00"/>
    <x v="21"/>
  </r>
  <r>
    <x v="122"/>
    <x v="66"/>
    <x v="25"/>
    <x v="25"/>
    <s v="P002"/>
    <x v="6"/>
    <s v="Electronics"/>
    <n v="4"/>
    <n v="699.99"/>
    <x v="3"/>
    <x v="4"/>
    <x v="1"/>
    <d v="2022-02-26T00:00:00"/>
    <x v="9"/>
  </r>
  <r>
    <x v="123"/>
    <x v="2"/>
    <x v="9"/>
    <x v="9"/>
    <s v="P001"/>
    <x v="8"/>
    <s v="Electronics"/>
    <n v="3"/>
    <n v="899.99"/>
    <x v="1"/>
    <x v="2"/>
    <x v="0"/>
    <d v="2022-11-11T00:00:00"/>
    <x v="12"/>
  </r>
  <r>
    <x v="124"/>
    <x v="94"/>
    <x v="8"/>
    <x v="8"/>
    <s v="P002"/>
    <x v="6"/>
    <s v="Electronics"/>
    <n v="3"/>
    <n v="699.99"/>
    <x v="2"/>
    <x v="0"/>
    <x v="0"/>
    <d v="2023-06-28T00:00:00"/>
    <x v="41"/>
  </r>
  <r>
    <x v="125"/>
    <x v="95"/>
    <x v="27"/>
    <x v="27"/>
    <s v="P005"/>
    <x v="5"/>
    <s v="Appliances"/>
    <n v="4"/>
    <n v="59.99"/>
    <x v="1"/>
    <x v="3"/>
    <x v="2"/>
    <d v="2022-01-03T00:00:00"/>
    <x v="39"/>
  </r>
  <r>
    <x v="126"/>
    <x v="96"/>
    <x v="37"/>
    <x v="37"/>
    <s v="P008"/>
    <x v="2"/>
    <s v="Furniture"/>
    <n v="1"/>
    <n v="149.99"/>
    <x v="3"/>
    <x v="3"/>
    <x v="1"/>
    <d v="2022-10-17T00:00:00"/>
    <x v="15"/>
  </r>
  <r>
    <x v="127"/>
    <x v="90"/>
    <x v="9"/>
    <x v="9"/>
    <s v="P005"/>
    <x v="5"/>
    <s v="Appliances"/>
    <n v="2"/>
    <n v="59.99"/>
    <x v="0"/>
    <x v="1"/>
    <x v="1"/>
    <d v="2024-04-08T00:00:00"/>
    <x v="5"/>
  </r>
  <r>
    <x v="128"/>
    <x v="97"/>
    <x v="46"/>
    <x v="46"/>
    <s v="P006"/>
    <x v="9"/>
    <s v="Furniture"/>
    <n v="1"/>
    <n v="199.99"/>
    <x v="1"/>
    <x v="3"/>
    <x v="2"/>
    <d v="2023-01-27T00:00:00"/>
    <x v="42"/>
  </r>
  <r>
    <x v="129"/>
    <x v="98"/>
    <x v="2"/>
    <x v="2"/>
    <s v="P008"/>
    <x v="2"/>
    <s v="Furniture"/>
    <n v="3"/>
    <n v="149.99"/>
    <x v="2"/>
    <x v="1"/>
    <x v="0"/>
    <d v="2023-05-22T00:00:00"/>
    <x v="7"/>
  </r>
  <r>
    <x v="130"/>
    <x v="99"/>
    <x v="8"/>
    <x v="8"/>
    <s v="P006"/>
    <x v="9"/>
    <s v="Furniture"/>
    <n v="3"/>
    <n v="199.99"/>
    <x v="0"/>
    <x v="2"/>
    <x v="0"/>
    <d v="2023-11-24T00:00:00"/>
    <x v="38"/>
  </r>
  <r>
    <x v="131"/>
    <x v="29"/>
    <x v="36"/>
    <x v="36"/>
    <s v="P001"/>
    <x v="8"/>
    <s v="Electronics"/>
    <n v="5"/>
    <n v="899.99"/>
    <x v="1"/>
    <x v="3"/>
    <x v="1"/>
    <d v="2021-11-26T00:00:00"/>
    <x v="14"/>
  </r>
  <r>
    <x v="132"/>
    <x v="41"/>
    <x v="15"/>
    <x v="15"/>
    <s v="P003"/>
    <x v="4"/>
    <s v="Electronics"/>
    <n v="2"/>
    <n v="149.99"/>
    <x v="0"/>
    <x v="4"/>
    <x v="0"/>
    <d v="2021-10-06T00:00:00"/>
    <x v="2"/>
  </r>
  <r>
    <x v="133"/>
    <x v="45"/>
    <x v="45"/>
    <x v="45"/>
    <s v="P002"/>
    <x v="6"/>
    <s v="Electronics"/>
    <n v="2"/>
    <n v="699.99"/>
    <x v="0"/>
    <x v="2"/>
    <x v="1"/>
    <d v="2022-08-08T00:00:00"/>
    <x v="8"/>
  </r>
  <r>
    <x v="134"/>
    <x v="100"/>
    <x v="6"/>
    <x v="6"/>
    <s v="P001"/>
    <x v="8"/>
    <s v="Electronics"/>
    <n v="3"/>
    <n v="899.99"/>
    <x v="3"/>
    <x v="3"/>
    <x v="2"/>
    <d v="2024-01-08T00:00:00"/>
    <x v="12"/>
  </r>
  <r>
    <x v="135"/>
    <x v="101"/>
    <x v="19"/>
    <x v="19"/>
    <s v="P005"/>
    <x v="5"/>
    <s v="Appliances"/>
    <n v="4"/>
    <n v="59.99"/>
    <x v="0"/>
    <x v="4"/>
    <x v="2"/>
    <d v="2021-11-09T00:00:00"/>
    <x v="39"/>
  </r>
  <r>
    <x v="136"/>
    <x v="102"/>
    <x v="23"/>
    <x v="23"/>
    <s v="P009"/>
    <x v="7"/>
    <s v="Electronics"/>
    <n v="4"/>
    <n v="249.99"/>
    <x v="3"/>
    <x v="3"/>
    <x v="0"/>
    <d v="2023-06-21T00:00:00"/>
    <x v="37"/>
  </r>
  <r>
    <x v="137"/>
    <x v="103"/>
    <x v="27"/>
    <x v="27"/>
    <s v="P008"/>
    <x v="2"/>
    <s v="Furniture"/>
    <n v="1"/>
    <n v="149.99"/>
    <x v="2"/>
    <x v="1"/>
    <x v="2"/>
    <d v="2023-06-26T00:00:00"/>
    <x v="15"/>
  </r>
  <r>
    <x v="138"/>
    <x v="104"/>
    <x v="28"/>
    <x v="28"/>
    <s v="P005"/>
    <x v="5"/>
    <s v="Appliances"/>
    <n v="3"/>
    <n v="59.99"/>
    <x v="3"/>
    <x v="4"/>
    <x v="2"/>
    <d v="2023-12-02T00:00:00"/>
    <x v="28"/>
  </r>
  <r>
    <x v="139"/>
    <x v="105"/>
    <x v="18"/>
    <x v="18"/>
    <s v="P010"/>
    <x v="3"/>
    <s v="Electronics"/>
    <n v="2"/>
    <n v="89.99"/>
    <x v="0"/>
    <x v="3"/>
    <x v="0"/>
    <d v="2023-02-15T00:00:00"/>
    <x v="6"/>
  </r>
  <r>
    <x v="140"/>
    <x v="16"/>
    <x v="12"/>
    <x v="12"/>
    <s v="P007"/>
    <x v="1"/>
    <s v="Furniture"/>
    <n v="1"/>
    <n v="299.99"/>
    <x v="2"/>
    <x v="2"/>
    <x v="0"/>
    <d v="2022-11-26T00:00:00"/>
    <x v="16"/>
  </r>
  <r>
    <x v="141"/>
    <x v="88"/>
    <x v="2"/>
    <x v="2"/>
    <s v="P005"/>
    <x v="5"/>
    <s v="Appliances"/>
    <n v="3"/>
    <n v="59.99"/>
    <x v="3"/>
    <x v="3"/>
    <x v="2"/>
    <d v="2022-07-06T00:00:00"/>
    <x v="28"/>
  </r>
  <r>
    <x v="142"/>
    <x v="106"/>
    <x v="31"/>
    <x v="31"/>
    <s v="P007"/>
    <x v="1"/>
    <s v="Furniture"/>
    <n v="2"/>
    <n v="299.99"/>
    <x v="0"/>
    <x v="1"/>
    <x v="1"/>
    <d v="2022-07-29T00:00:00"/>
    <x v="30"/>
  </r>
  <r>
    <x v="143"/>
    <x v="107"/>
    <x v="30"/>
    <x v="30"/>
    <s v="P001"/>
    <x v="8"/>
    <s v="Electronics"/>
    <n v="3"/>
    <n v="899.99"/>
    <x v="0"/>
    <x v="0"/>
    <x v="2"/>
    <d v="2023-01-27T00:00:00"/>
    <x v="12"/>
  </r>
  <r>
    <x v="144"/>
    <x v="108"/>
    <x v="12"/>
    <x v="12"/>
    <s v="P005"/>
    <x v="5"/>
    <s v="Appliances"/>
    <n v="1"/>
    <n v="59.99"/>
    <x v="1"/>
    <x v="1"/>
    <x v="2"/>
    <d v="2021-12-30T00:00:00"/>
    <x v="34"/>
  </r>
  <r>
    <x v="145"/>
    <x v="109"/>
    <x v="45"/>
    <x v="45"/>
    <s v="P005"/>
    <x v="5"/>
    <s v="Appliances"/>
    <n v="2"/>
    <n v="59.99"/>
    <x v="2"/>
    <x v="0"/>
    <x v="1"/>
    <d v="2022-01-18T00:00:00"/>
    <x v="5"/>
  </r>
  <r>
    <x v="146"/>
    <x v="110"/>
    <x v="24"/>
    <x v="24"/>
    <s v="P008"/>
    <x v="2"/>
    <s v="Furniture"/>
    <n v="5"/>
    <n v="149.99"/>
    <x v="0"/>
    <x v="0"/>
    <x v="0"/>
    <d v="2024-02-25T00:00:00"/>
    <x v="36"/>
  </r>
  <r>
    <x v="147"/>
    <x v="108"/>
    <x v="7"/>
    <x v="7"/>
    <s v="P002"/>
    <x v="6"/>
    <s v="Electronics"/>
    <n v="3"/>
    <n v="699.99"/>
    <x v="3"/>
    <x v="1"/>
    <x v="2"/>
    <d v="2022-01-22T00:00:00"/>
    <x v="41"/>
  </r>
  <r>
    <x v="148"/>
    <x v="111"/>
    <x v="48"/>
    <x v="48"/>
    <s v="P005"/>
    <x v="5"/>
    <s v="Appliances"/>
    <n v="3"/>
    <n v="59.99"/>
    <x v="1"/>
    <x v="4"/>
    <x v="2"/>
    <d v="2023-11-30T00:00:00"/>
    <x v="28"/>
  </r>
  <r>
    <x v="149"/>
    <x v="57"/>
    <x v="13"/>
    <x v="13"/>
    <s v="P007"/>
    <x v="1"/>
    <s v="Furniture"/>
    <n v="2"/>
    <n v="299.99"/>
    <x v="1"/>
    <x v="3"/>
    <x v="2"/>
    <d v="2023-11-23T00:00:00"/>
    <x v="30"/>
  </r>
  <r>
    <x v="150"/>
    <x v="70"/>
    <x v="9"/>
    <x v="9"/>
    <s v="P002"/>
    <x v="6"/>
    <s v="Electronics"/>
    <n v="1"/>
    <n v="699.99"/>
    <x v="3"/>
    <x v="1"/>
    <x v="1"/>
    <d v="2023-01-08T00:00:00"/>
    <x v="29"/>
  </r>
  <r>
    <x v="151"/>
    <x v="112"/>
    <x v="39"/>
    <x v="39"/>
    <s v="P004"/>
    <x v="0"/>
    <s v="Appliances"/>
    <n v="4"/>
    <n v="79.989999999999995"/>
    <x v="2"/>
    <x v="0"/>
    <x v="1"/>
    <d v="2023-12-28T00:00:00"/>
    <x v="23"/>
  </r>
  <r>
    <x v="152"/>
    <x v="113"/>
    <x v="19"/>
    <x v="19"/>
    <s v="P010"/>
    <x v="3"/>
    <s v="Electronics"/>
    <n v="3"/>
    <n v="89.99"/>
    <x v="2"/>
    <x v="2"/>
    <x v="2"/>
    <d v="2022-02-23T00:00:00"/>
    <x v="33"/>
  </r>
  <r>
    <x v="153"/>
    <x v="40"/>
    <x v="16"/>
    <x v="16"/>
    <s v="P001"/>
    <x v="8"/>
    <s v="Electronics"/>
    <n v="5"/>
    <n v="899.99"/>
    <x v="2"/>
    <x v="4"/>
    <x v="2"/>
    <d v="2023-02-17T00:00:00"/>
    <x v="14"/>
  </r>
  <r>
    <x v="154"/>
    <x v="114"/>
    <x v="16"/>
    <x v="16"/>
    <s v="P009"/>
    <x v="7"/>
    <s v="Electronics"/>
    <n v="3"/>
    <n v="249.99"/>
    <x v="0"/>
    <x v="0"/>
    <x v="1"/>
    <d v="2021-08-17T00:00:00"/>
    <x v="17"/>
  </r>
  <r>
    <x v="155"/>
    <x v="110"/>
    <x v="6"/>
    <x v="6"/>
    <s v="P010"/>
    <x v="3"/>
    <s v="Electronics"/>
    <n v="1"/>
    <n v="89.99"/>
    <x v="2"/>
    <x v="4"/>
    <x v="0"/>
    <d v="2022-01-30T00:00:00"/>
    <x v="31"/>
  </r>
  <r>
    <x v="156"/>
    <x v="1"/>
    <x v="18"/>
    <x v="18"/>
    <s v="P010"/>
    <x v="3"/>
    <s v="Electronics"/>
    <n v="2"/>
    <n v="89.99"/>
    <x v="3"/>
    <x v="4"/>
    <x v="1"/>
    <d v="2023-02-19T00:00:00"/>
    <x v="6"/>
  </r>
  <r>
    <x v="157"/>
    <x v="115"/>
    <x v="48"/>
    <x v="48"/>
    <s v="P001"/>
    <x v="8"/>
    <s v="Electronics"/>
    <n v="3"/>
    <n v="899.99"/>
    <x v="3"/>
    <x v="1"/>
    <x v="1"/>
    <d v="2023-10-16T00:00:00"/>
    <x v="12"/>
  </r>
  <r>
    <x v="158"/>
    <x v="116"/>
    <x v="11"/>
    <x v="11"/>
    <s v="P009"/>
    <x v="7"/>
    <s v="Electronics"/>
    <n v="4"/>
    <n v="249.99"/>
    <x v="1"/>
    <x v="0"/>
    <x v="0"/>
    <d v="2023-10-18T00:00:00"/>
    <x v="37"/>
  </r>
  <r>
    <x v="159"/>
    <x v="117"/>
    <x v="30"/>
    <x v="30"/>
    <s v="P006"/>
    <x v="9"/>
    <s v="Furniture"/>
    <n v="4"/>
    <n v="199.99"/>
    <x v="1"/>
    <x v="0"/>
    <x v="0"/>
    <d v="2021-08-19T00:00:00"/>
    <x v="32"/>
  </r>
  <r>
    <x v="160"/>
    <x v="118"/>
    <x v="22"/>
    <x v="22"/>
    <s v="P004"/>
    <x v="0"/>
    <s v="Appliances"/>
    <n v="1"/>
    <n v="79.989999999999995"/>
    <x v="0"/>
    <x v="1"/>
    <x v="1"/>
    <d v="2022-05-12T00:00:00"/>
    <x v="27"/>
  </r>
  <r>
    <x v="161"/>
    <x v="119"/>
    <x v="9"/>
    <x v="9"/>
    <s v="P001"/>
    <x v="8"/>
    <s v="Electronics"/>
    <n v="1"/>
    <n v="899.99"/>
    <x v="0"/>
    <x v="0"/>
    <x v="2"/>
    <d v="2023-09-10T00:00:00"/>
    <x v="19"/>
  </r>
  <r>
    <x v="162"/>
    <x v="120"/>
    <x v="1"/>
    <x v="1"/>
    <s v="P001"/>
    <x v="8"/>
    <s v="Electronics"/>
    <n v="5"/>
    <n v="899.99"/>
    <x v="1"/>
    <x v="3"/>
    <x v="2"/>
    <d v="2022-03-05T00:00:00"/>
    <x v="14"/>
  </r>
  <r>
    <x v="163"/>
    <x v="7"/>
    <x v="47"/>
    <x v="47"/>
    <s v="P003"/>
    <x v="4"/>
    <s v="Electronics"/>
    <n v="2"/>
    <n v="149.99"/>
    <x v="1"/>
    <x v="1"/>
    <x v="0"/>
    <d v="2023-12-20T00:00:00"/>
    <x v="2"/>
  </r>
  <r>
    <x v="164"/>
    <x v="106"/>
    <x v="37"/>
    <x v="37"/>
    <s v="P006"/>
    <x v="9"/>
    <s v="Furniture"/>
    <n v="4"/>
    <n v="199.99"/>
    <x v="2"/>
    <x v="0"/>
    <x v="1"/>
    <d v="2021-11-23T00:00:00"/>
    <x v="32"/>
  </r>
  <r>
    <x v="165"/>
    <x v="9"/>
    <x v="31"/>
    <x v="31"/>
    <s v="P010"/>
    <x v="3"/>
    <s v="Electronics"/>
    <n v="3"/>
    <n v="89.99"/>
    <x v="1"/>
    <x v="4"/>
    <x v="0"/>
    <d v="2024-01-16T00:00:00"/>
    <x v="33"/>
  </r>
  <r>
    <x v="166"/>
    <x v="121"/>
    <x v="21"/>
    <x v="21"/>
    <s v="P002"/>
    <x v="6"/>
    <s v="Electronics"/>
    <n v="5"/>
    <n v="699.99"/>
    <x v="0"/>
    <x v="2"/>
    <x v="0"/>
    <d v="2022-03-15T00:00:00"/>
    <x v="13"/>
  </r>
  <r>
    <x v="167"/>
    <x v="122"/>
    <x v="31"/>
    <x v="31"/>
    <s v="P008"/>
    <x v="2"/>
    <s v="Furniture"/>
    <n v="3"/>
    <n v="149.99"/>
    <x v="3"/>
    <x v="0"/>
    <x v="2"/>
    <d v="2022-03-13T00:00:00"/>
    <x v="7"/>
  </r>
  <r>
    <x v="168"/>
    <x v="123"/>
    <x v="36"/>
    <x v="36"/>
    <s v="P005"/>
    <x v="5"/>
    <s v="Appliances"/>
    <n v="3"/>
    <n v="59.99"/>
    <x v="2"/>
    <x v="1"/>
    <x v="1"/>
    <d v="2023-07-23T00:00:00"/>
    <x v="28"/>
  </r>
  <r>
    <x v="169"/>
    <x v="54"/>
    <x v="44"/>
    <x v="44"/>
    <s v="P003"/>
    <x v="4"/>
    <s v="Electronics"/>
    <n v="3"/>
    <n v="149.99"/>
    <x v="0"/>
    <x v="1"/>
    <x v="0"/>
    <d v="2023-10-13T00:00:00"/>
    <x v="7"/>
  </r>
  <r>
    <x v="170"/>
    <x v="124"/>
    <x v="28"/>
    <x v="28"/>
    <s v="P007"/>
    <x v="1"/>
    <s v="Furniture"/>
    <n v="2"/>
    <n v="299.99"/>
    <x v="3"/>
    <x v="4"/>
    <x v="1"/>
    <d v="2022-06-09T00:00:00"/>
    <x v="30"/>
  </r>
  <r>
    <x v="171"/>
    <x v="33"/>
    <x v="16"/>
    <x v="16"/>
    <s v="P005"/>
    <x v="5"/>
    <s v="Appliances"/>
    <n v="5"/>
    <n v="59.99"/>
    <x v="3"/>
    <x v="1"/>
    <x v="0"/>
    <d v="2022-05-13T00:00:00"/>
    <x v="10"/>
  </r>
  <r>
    <x v="172"/>
    <x v="32"/>
    <x v="41"/>
    <x v="41"/>
    <s v="P002"/>
    <x v="6"/>
    <s v="Electronics"/>
    <n v="5"/>
    <n v="699.99"/>
    <x v="0"/>
    <x v="3"/>
    <x v="2"/>
    <d v="2023-03-23T00:00:00"/>
    <x v="13"/>
  </r>
  <r>
    <x v="173"/>
    <x v="125"/>
    <x v="31"/>
    <x v="31"/>
    <s v="P007"/>
    <x v="1"/>
    <s v="Furniture"/>
    <n v="4"/>
    <n v="299.99"/>
    <x v="0"/>
    <x v="0"/>
    <x v="0"/>
    <d v="2021-09-21T00:00:00"/>
    <x v="43"/>
  </r>
  <r>
    <x v="174"/>
    <x v="126"/>
    <x v="37"/>
    <x v="37"/>
    <s v="P009"/>
    <x v="7"/>
    <s v="Electronics"/>
    <n v="5"/>
    <n v="249.99"/>
    <x v="0"/>
    <x v="3"/>
    <x v="2"/>
    <d v="2021-12-10T00:00:00"/>
    <x v="11"/>
  </r>
  <r>
    <x v="175"/>
    <x v="127"/>
    <x v="39"/>
    <x v="39"/>
    <s v="P008"/>
    <x v="2"/>
    <s v="Furniture"/>
    <n v="2"/>
    <n v="149.99"/>
    <x v="1"/>
    <x v="3"/>
    <x v="2"/>
    <d v="2022-04-16T00:00:00"/>
    <x v="2"/>
  </r>
  <r>
    <x v="176"/>
    <x v="128"/>
    <x v="33"/>
    <x v="33"/>
    <s v="P001"/>
    <x v="8"/>
    <s v="Electronics"/>
    <n v="3"/>
    <n v="899.99"/>
    <x v="2"/>
    <x v="2"/>
    <x v="2"/>
    <d v="2023-08-19T00:00:00"/>
    <x v="12"/>
  </r>
  <r>
    <x v="177"/>
    <x v="28"/>
    <x v="18"/>
    <x v="18"/>
    <s v="P007"/>
    <x v="1"/>
    <s v="Furniture"/>
    <n v="3"/>
    <n v="299.99"/>
    <x v="1"/>
    <x v="1"/>
    <x v="2"/>
    <d v="2023-01-26T00:00:00"/>
    <x v="1"/>
  </r>
  <r>
    <x v="178"/>
    <x v="122"/>
    <x v="30"/>
    <x v="30"/>
    <s v="P002"/>
    <x v="6"/>
    <s v="Electronics"/>
    <n v="5"/>
    <n v="699.99"/>
    <x v="3"/>
    <x v="4"/>
    <x v="0"/>
    <d v="2024-03-01T00:00:00"/>
    <x v="13"/>
  </r>
  <r>
    <x v="179"/>
    <x v="34"/>
    <x v="24"/>
    <x v="24"/>
    <s v="P009"/>
    <x v="7"/>
    <s v="Electronics"/>
    <n v="2"/>
    <n v="249.99"/>
    <x v="2"/>
    <x v="0"/>
    <x v="0"/>
    <d v="2021-07-19T00:00:00"/>
    <x v="24"/>
  </r>
  <r>
    <x v="180"/>
    <x v="129"/>
    <x v="3"/>
    <x v="3"/>
    <s v="P007"/>
    <x v="1"/>
    <s v="Furniture"/>
    <n v="2"/>
    <n v="299.99"/>
    <x v="1"/>
    <x v="0"/>
    <x v="1"/>
    <d v="2022-01-08T00:00:00"/>
    <x v="30"/>
  </r>
  <r>
    <x v="181"/>
    <x v="130"/>
    <x v="38"/>
    <x v="38"/>
    <s v="P006"/>
    <x v="9"/>
    <s v="Furniture"/>
    <n v="2"/>
    <n v="199.99"/>
    <x v="0"/>
    <x v="0"/>
    <x v="0"/>
    <d v="2022-01-12T00:00:00"/>
    <x v="40"/>
  </r>
  <r>
    <x v="182"/>
    <x v="120"/>
    <x v="5"/>
    <x v="5"/>
    <s v="P010"/>
    <x v="3"/>
    <s v="Electronics"/>
    <n v="1"/>
    <n v="89.99"/>
    <x v="1"/>
    <x v="0"/>
    <x v="2"/>
    <d v="2022-07-18T00:00:00"/>
    <x v="31"/>
  </r>
  <r>
    <x v="183"/>
    <x v="84"/>
    <x v="29"/>
    <x v="29"/>
    <s v="P002"/>
    <x v="6"/>
    <s v="Electronics"/>
    <n v="3"/>
    <n v="699.99"/>
    <x v="2"/>
    <x v="3"/>
    <x v="0"/>
    <d v="2023-06-25T00:00:00"/>
    <x v="41"/>
  </r>
  <r>
    <x v="184"/>
    <x v="103"/>
    <x v="8"/>
    <x v="8"/>
    <s v="P005"/>
    <x v="5"/>
    <s v="Appliances"/>
    <n v="3"/>
    <n v="59.99"/>
    <x v="0"/>
    <x v="1"/>
    <x v="0"/>
    <d v="2023-10-08T00:00:00"/>
    <x v="28"/>
  </r>
  <r>
    <x v="185"/>
    <x v="14"/>
    <x v="0"/>
    <x v="0"/>
    <s v="P008"/>
    <x v="2"/>
    <s v="Furniture"/>
    <n v="2"/>
    <n v="149.99"/>
    <x v="3"/>
    <x v="0"/>
    <x v="0"/>
    <d v="2022-03-12T00:00:00"/>
    <x v="2"/>
  </r>
  <r>
    <x v="186"/>
    <x v="131"/>
    <x v="24"/>
    <x v="24"/>
    <s v="P004"/>
    <x v="0"/>
    <s v="Appliances"/>
    <n v="3"/>
    <n v="79.989999999999995"/>
    <x v="0"/>
    <x v="3"/>
    <x v="0"/>
    <d v="2021-08-28T00:00:00"/>
    <x v="0"/>
  </r>
  <r>
    <x v="187"/>
    <x v="28"/>
    <x v="10"/>
    <x v="10"/>
    <s v="P002"/>
    <x v="6"/>
    <s v="Electronics"/>
    <n v="2"/>
    <n v="699.99"/>
    <x v="1"/>
    <x v="0"/>
    <x v="0"/>
    <d v="2022-04-30T00:00:00"/>
    <x v="8"/>
  </r>
  <r>
    <x v="188"/>
    <x v="32"/>
    <x v="9"/>
    <x v="9"/>
    <s v="P001"/>
    <x v="8"/>
    <s v="Electronics"/>
    <n v="1"/>
    <n v="899.99"/>
    <x v="2"/>
    <x v="3"/>
    <x v="2"/>
    <d v="2024-03-18T00:00:00"/>
    <x v="19"/>
  </r>
  <r>
    <x v="189"/>
    <x v="132"/>
    <x v="0"/>
    <x v="0"/>
    <s v="P003"/>
    <x v="4"/>
    <s v="Electronics"/>
    <n v="2"/>
    <n v="149.99"/>
    <x v="2"/>
    <x v="1"/>
    <x v="1"/>
    <d v="2022-12-21T00:00:00"/>
    <x v="2"/>
  </r>
  <r>
    <x v="190"/>
    <x v="62"/>
    <x v="49"/>
    <x v="49"/>
    <s v="P002"/>
    <x v="6"/>
    <s v="Electronics"/>
    <n v="3"/>
    <n v="699.99"/>
    <x v="2"/>
    <x v="1"/>
    <x v="1"/>
    <d v="2022-01-16T00:00:00"/>
    <x v="41"/>
  </r>
  <r>
    <x v="191"/>
    <x v="133"/>
    <x v="22"/>
    <x v="22"/>
    <s v="P010"/>
    <x v="3"/>
    <s v="Electronics"/>
    <n v="1"/>
    <n v="89.99"/>
    <x v="3"/>
    <x v="1"/>
    <x v="2"/>
    <d v="2022-08-29T00:00:00"/>
    <x v="31"/>
  </r>
  <r>
    <x v="192"/>
    <x v="78"/>
    <x v="11"/>
    <x v="11"/>
    <s v="P003"/>
    <x v="4"/>
    <s v="Electronics"/>
    <n v="5"/>
    <n v="149.99"/>
    <x v="2"/>
    <x v="0"/>
    <x v="2"/>
    <d v="2021-08-10T00:00:00"/>
    <x v="36"/>
  </r>
  <r>
    <x v="193"/>
    <x v="134"/>
    <x v="17"/>
    <x v="17"/>
    <s v="P008"/>
    <x v="2"/>
    <s v="Furniture"/>
    <n v="2"/>
    <n v="149.99"/>
    <x v="2"/>
    <x v="1"/>
    <x v="1"/>
    <d v="2022-09-19T00:00:00"/>
    <x v="2"/>
  </r>
  <r>
    <x v="194"/>
    <x v="50"/>
    <x v="8"/>
    <x v="8"/>
    <s v="P009"/>
    <x v="7"/>
    <s v="Electronics"/>
    <n v="2"/>
    <n v="249.99"/>
    <x v="3"/>
    <x v="4"/>
    <x v="1"/>
    <d v="2023-03-08T00:00:00"/>
    <x v="24"/>
  </r>
  <r>
    <x v="195"/>
    <x v="75"/>
    <x v="16"/>
    <x v="16"/>
    <s v="P010"/>
    <x v="3"/>
    <s v="Electronics"/>
    <n v="2"/>
    <n v="89.99"/>
    <x v="3"/>
    <x v="0"/>
    <x v="1"/>
    <d v="2023-11-27T00:00:00"/>
    <x v="6"/>
  </r>
  <r>
    <x v="196"/>
    <x v="135"/>
    <x v="26"/>
    <x v="26"/>
    <s v="P008"/>
    <x v="2"/>
    <s v="Furniture"/>
    <n v="3"/>
    <n v="149.99"/>
    <x v="3"/>
    <x v="0"/>
    <x v="2"/>
    <d v="2023-09-02T00:00:00"/>
    <x v="7"/>
  </r>
  <r>
    <x v="197"/>
    <x v="136"/>
    <x v="37"/>
    <x v="37"/>
    <s v="P004"/>
    <x v="0"/>
    <s v="Appliances"/>
    <n v="3"/>
    <n v="79.989999999999995"/>
    <x v="1"/>
    <x v="3"/>
    <x v="2"/>
    <d v="2022-08-06T00:00:00"/>
    <x v="0"/>
  </r>
  <r>
    <x v="198"/>
    <x v="14"/>
    <x v="22"/>
    <x v="22"/>
    <s v="P008"/>
    <x v="2"/>
    <s v="Furniture"/>
    <n v="4"/>
    <n v="149.99"/>
    <x v="0"/>
    <x v="0"/>
    <x v="2"/>
    <d v="2023-12-03T00:00:00"/>
    <x v="4"/>
  </r>
  <r>
    <x v="199"/>
    <x v="43"/>
    <x v="20"/>
    <x v="20"/>
    <s v="P008"/>
    <x v="2"/>
    <s v="Furniture"/>
    <n v="4"/>
    <n v="149.99"/>
    <x v="3"/>
    <x v="2"/>
    <x v="0"/>
    <d v="2021-08-04T00:00:00"/>
    <x v="4"/>
  </r>
  <r>
    <x v="200"/>
    <x v="41"/>
    <x v="18"/>
    <x v="18"/>
    <s v="P002"/>
    <x v="6"/>
    <s v="Electronics"/>
    <n v="5"/>
    <n v="699.99"/>
    <x v="1"/>
    <x v="1"/>
    <x v="2"/>
    <d v="2023-01-18T00:00:00"/>
    <x v="13"/>
  </r>
  <r>
    <x v="201"/>
    <x v="137"/>
    <x v="14"/>
    <x v="14"/>
    <s v="P010"/>
    <x v="3"/>
    <s v="Electronics"/>
    <n v="3"/>
    <n v="89.99"/>
    <x v="3"/>
    <x v="0"/>
    <x v="0"/>
    <d v="2023-07-13T00:00:00"/>
    <x v="33"/>
  </r>
  <r>
    <x v="202"/>
    <x v="109"/>
    <x v="33"/>
    <x v="33"/>
    <s v="P003"/>
    <x v="4"/>
    <s v="Electronics"/>
    <n v="4"/>
    <n v="149.99"/>
    <x v="2"/>
    <x v="2"/>
    <x v="0"/>
    <d v="2023-05-30T00:00:00"/>
    <x v="4"/>
  </r>
  <r>
    <x v="203"/>
    <x v="138"/>
    <x v="39"/>
    <x v="39"/>
    <s v="P009"/>
    <x v="7"/>
    <s v="Electronics"/>
    <n v="4"/>
    <n v="249.99"/>
    <x v="3"/>
    <x v="2"/>
    <x v="2"/>
    <d v="2021-09-29T00:00:00"/>
    <x v="37"/>
  </r>
  <r>
    <x v="204"/>
    <x v="139"/>
    <x v="18"/>
    <x v="18"/>
    <s v="P007"/>
    <x v="1"/>
    <s v="Furniture"/>
    <n v="5"/>
    <n v="299.99"/>
    <x v="2"/>
    <x v="2"/>
    <x v="1"/>
    <d v="2023-02-08T00:00:00"/>
    <x v="26"/>
  </r>
  <r>
    <x v="205"/>
    <x v="140"/>
    <x v="47"/>
    <x v="47"/>
    <s v="P008"/>
    <x v="2"/>
    <s v="Furniture"/>
    <n v="2"/>
    <n v="149.99"/>
    <x v="0"/>
    <x v="4"/>
    <x v="2"/>
    <d v="2023-06-24T00:00:00"/>
    <x v="2"/>
  </r>
  <r>
    <x v="206"/>
    <x v="141"/>
    <x v="18"/>
    <x v="18"/>
    <s v="P001"/>
    <x v="8"/>
    <s v="Electronics"/>
    <n v="1"/>
    <n v="899.99"/>
    <x v="3"/>
    <x v="2"/>
    <x v="0"/>
    <d v="2023-05-04T00:00:00"/>
    <x v="19"/>
  </r>
  <r>
    <x v="207"/>
    <x v="142"/>
    <x v="7"/>
    <x v="7"/>
    <s v="P010"/>
    <x v="3"/>
    <s v="Electronics"/>
    <n v="5"/>
    <n v="89.99"/>
    <x v="2"/>
    <x v="3"/>
    <x v="2"/>
    <d v="2022-01-26T00:00:00"/>
    <x v="3"/>
  </r>
  <r>
    <x v="208"/>
    <x v="103"/>
    <x v="29"/>
    <x v="29"/>
    <s v="P008"/>
    <x v="2"/>
    <s v="Furniture"/>
    <n v="5"/>
    <n v="149.99"/>
    <x v="1"/>
    <x v="2"/>
    <x v="1"/>
    <d v="2022-09-26T00:00:00"/>
    <x v="36"/>
  </r>
  <r>
    <x v="209"/>
    <x v="111"/>
    <x v="7"/>
    <x v="7"/>
    <s v="P008"/>
    <x v="2"/>
    <s v="Furniture"/>
    <n v="5"/>
    <n v="149.99"/>
    <x v="3"/>
    <x v="0"/>
    <x v="1"/>
    <d v="2022-12-06T00:00:00"/>
    <x v="36"/>
  </r>
  <r>
    <x v="210"/>
    <x v="143"/>
    <x v="29"/>
    <x v="29"/>
    <s v="P010"/>
    <x v="3"/>
    <s v="Electronics"/>
    <n v="2"/>
    <n v="89.99"/>
    <x v="2"/>
    <x v="4"/>
    <x v="0"/>
    <d v="2022-03-21T00:00:00"/>
    <x v="6"/>
  </r>
  <r>
    <x v="211"/>
    <x v="39"/>
    <x v="31"/>
    <x v="31"/>
    <s v="P008"/>
    <x v="2"/>
    <s v="Furniture"/>
    <n v="5"/>
    <n v="149.99"/>
    <x v="2"/>
    <x v="2"/>
    <x v="0"/>
    <d v="2024-01-04T00:00:00"/>
    <x v="36"/>
  </r>
  <r>
    <x v="212"/>
    <x v="144"/>
    <x v="40"/>
    <x v="40"/>
    <s v="P010"/>
    <x v="3"/>
    <s v="Electronics"/>
    <n v="5"/>
    <n v="89.99"/>
    <x v="3"/>
    <x v="4"/>
    <x v="1"/>
    <d v="2022-05-23T00:00:00"/>
    <x v="3"/>
  </r>
  <r>
    <x v="213"/>
    <x v="145"/>
    <x v="41"/>
    <x v="41"/>
    <s v="P001"/>
    <x v="8"/>
    <s v="Electronics"/>
    <n v="3"/>
    <n v="899.99"/>
    <x v="0"/>
    <x v="3"/>
    <x v="2"/>
    <d v="2022-02-21T00:00:00"/>
    <x v="12"/>
  </r>
  <r>
    <x v="214"/>
    <x v="5"/>
    <x v="36"/>
    <x v="36"/>
    <s v="P009"/>
    <x v="7"/>
    <s v="Electronics"/>
    <n v="4"/>
    <n v="249.99"/>
    <x v="1"/>
    <x v="0"/>
    <x v="2"/>
    <d v="2023-07-20T00:00:00"/>
    <x v="37"/>
  </r>
  <r>
    <x v="215"/>
    <x v="123"/>
    <x v="25"/>
    <x v="25"/>
    <s v="P008"/>
    <x v="2"/>
    <s v="Furniture"/>
    <n v="3"/>
    <n v="149.99"/>
    <x v="0"/>
    <x v="0"/>
    <x v="0"/>
    <d v="2023-09-30T00:00:00"/>
    <x v="7"/>
  </r>
  <r>
    <x v="216"/>
    <x v="146"/>
    <x v="18"/>
    <x v="18"/>
    <s v="P002"/>
    <x v="6"/>
    <s v="Electronics"/>
    <n v="2"/>
    <n v="699.99"/>
    <x v="2"/>
    <x v="2"/>
    <x v="0"/>
    <d v="2023-03-14T00:00:00"/>
    <x v="8"/>
  </r>
  <r>
    <x v="217"/>
    <x v="51"/>
    <x v="44"/>
    <x v="44"/>
    <s v="P008"/>
    <x v="2"/>
    <s v="Furniture"/>
    <n v="3"/>
    <n v="149.99"/>
    <x v="2"/>
    <x v="4"/>
    <x v="2"/>
    <d v="2023-01-14T00:00:00"/>
    <x v="7"/>
  </r>
  <r>
    <x v="218"/>
    <x v="147"/>
    <x v="20"/>
    <x v="20"/>
    <s v="P005"/>
    <x v="5"/>
    <s v="Appliances"/>
    <n v="1"/>
    <n v="59.99"/>
    <x v="1"/>
    <x v="0"/>
    <x v="2"/>
    <d v="2023-04-29T00:00:00"/>
    <x v="34"/>
  </r>
  <r>
    <x v="219"/>
    <x v="148"/>
    <x v="31"/>
    <x v="31"/>
    <s v="P008"/>
    <x v="2"/>
    <s v="Furniture"/>
    <n v="2"/>
    <n v="149.99"/>
    <x v="0"/>
    <x v="3"/>
    <x v="0"/>
    <d v="2022-03-25T00:00:00"/>
    <x v="2"/>
  </r>
  <r>
    <x v="220"/>
    <x v="145"/>
    <x v="12"/>
    <x v="12"/>
    <s v="P006"/>
    <x v="9"/>
    <s v="Furniture"/>
    <n v="3"/>
    <n v="199.99"/>
    <x v="0"/>
    <x v="1"/>
    <x v="0"/>
    <d v="2022-09-19T00:00:00"/>
    <x v="38"/>
  </r>
  <r>
    <x v="221"/>
    <x v="45"/>
    <x v="26"/>
    <x v="26"/>
    <s v="P009"/>
    <x v="7"/>
    <s v="Electronics"/>
    <n v="3"/>
    <n v="249.99"/>
    <x v="2"/>
    <x v="2"/>
    <x v="0"/>
    <d v="2023-10-25T00:00:00"/>
    <x v="17"/>
  </r>
  <r>
    <x v="222"/>
    <x v="149"/>
    <x v="24"/>
    <x v="24"/>
    <s v="P006"/>
    <x v="9"/>
    <s v="Furniture"/>
    <n v="5"/>
    <n v="199.99"/>
    <x v="3"/>
    <x v="0"/>
    <x v="2"/>
    <d v="2022-03-13T00:00:00"/>
    <x v="20"/>
  </r>
  <r>
    <x v="223"/>
    <x v="69"/>
    <x v="38"/>
    <x v="38"/>
    <s v="P007"/>
    <x v="1"/>
    <s v="Furniture"/>
    <n v="2"/>
    <n v="299.99"/>
    <x v="0"/>
    <x v="3"/>
    <x v="0"/>
    <d v="2022-06-12T00:00:00"/>
    <x v="30"/>
  </r>
  <r>
    <x v="224"/>
    <x v="150"/>
    <x v="0"/>
    <x v="0"/>
    <s v="P002"/>
    <x v="6"/>
    <s v="Electronics"/>
    <n v="2"/>
    <n v="699.99"/>
    <x v="1"/>
    <x v="0"/>
    <x v="0"/>
    <d v="2022-11-05T00:00:00"/>
    <x v="8"/>
  </r>
  <r>
    <x v="225"/>
    <x v="151"/>
    <x v="0"/>
    <x v="0"/>
    <s v="P002"/>
    <x v="6"/>
    <s v="Electronics"/>
    <n v="5"/>
    <n v="699.99"/>
    <x v="1"/>
    <x v="3"/>
    <x v="0"/>
    <d v="2023-08-23T00:00:00"/>
    <x v="13"/>
  </r>
  <r>
    <x v="226"/>
    <x v="152"/>
    <x v="22"/>
    <x v="22"/>
    <s v="P008"/>
    <x v="2"/>
    <s v="Furniture"/>
    <n v="2"/>
    <n v="149.99"/>
    <x v="0"/>
    <x v="0"/>
    <x v="1"/>
    <d v="2023-05-22T00:00:00"/>
    <x v="2"/>
  </r>
  <r>
    <x v="227"/>
    <x v="68"/>
    <x v="1"/>
    <x v="1"/>
    <s v="P007"/>
    <x v="1"/>
    <s v="Furniture"/>
    <n v="1"/>
    <n v="299.99"/>
    <x v="0"/>
    <x v="4"/>
    <x v="1"/>
    <d v="2023-02-25T00:00:00"/>
    <x v="16"/>
  </r>
  <r>
    <x v="228"/>
    <x v="44"/>
    <x v="46"/>
    <x v="46"/>
    <s v="P005"/>
    <x v="5"/>
    <s v="Appliances"/>
    <n v="4"/>
    <n v="59.99"/>
    <x v="0"/>
    <x v="1"/>
    <x v="2"/>
    <d v="2023-05-24T00:00:00"/>
    <x v="39"/>
  </r>
  <r>
    <x v="229"/>
    <x v="62"/>
    <x v="48"/>
    <x v="48"/>
    <s v="P001"/>
    <x v="8"/>
    <s v="Electronics"/>
    <n v="1"/>
    <n v="899.99"/>
    <x v="1"/>
    <x v="2"/>
    <x v="2"/>
    <d v="2022-12-25T00:00:00"/>
    <x v="19"/>
  </r>
  <r>
    <x v="230"/>
    <x v="153"/>
    <x v="41"/>
    <x v="41"/>
    <s v="P002"/>
    <x v="6"/>
    <s v="Electronics"/>
    <n v="5"/>
    <n v="699.99"/>
    <x v="0"/>
    <x v="1"/>
    <x v="1"/>
    <d v="2023-08-29T00:00:00"/>
    <x v="13"/>
  </r>
  <r>
    <x v="231"/>
    <x v="154"/>
    <x v="3"/>
    <x v="3"/>
    <s v="P007"/>
    <x v="1"/>
    <s v="Furniture"/>
    <n v="3"/>
    <n v="299.99"/>
    <x v="2"/>
    <x v="3"/>
    <x v="1"/>
    <d v="2022-09-20T00:00:00"/>
    <x v="1"/>
  </r>
  <r>
    <x v="232"/>
    <x v="126"/>
    <x v="16"/>
    <x v="16"/>
    <s v="P010"/>
    <x v="3"/>
    <s v="Electronics"/>
    <n v="2"/>
    <n v="89.99"/>
    <x v="2"/>
    <x v="1"/>
    <x v="0"/>
    <d v="2024-01-04T00:00:00"/>
    <x v="6"/>
  </r>
  <r>
    <x v="233"/>
    <x v="93"/>
    <x v="15"/>
    <x v="15"/>
    <s v="P009"/>
    <x v="7"/>
    <s v="Electronics"/>
    <n v="5"/>
    <n v="249.99"/>
    <x v="2"/>
    <x v="3"/>
    <x v="2"/>
    <d v="2022-05-26T00:00:00"/>
    <x v="11"/>
  </r>
  <r>
    <x v="234"/>
    <x v="3"/>
    <x v="47"/>
    <x v="47"/>
    <s v="P004"/>
    <x v="0"/>
    <s v="Appliances"/>
    <n v="3"/>
    <n v="79.989999999999995"/>
    <x v="3"/>
    <x v="3"/>
    <x v="0"/>
    <d v="2023-03-27T00:00:00"/>
    <x v="0"/>
  </r>
  <r>
    <x v="235"/>
    <x v="155"/>
    <x v="39"/>
    <x v="39"/>
    <s v="P008"/>
    <x v="2"/>
    <s v="Furniture"/>
    <n v="5"/>
    <n v="149.99"/>
    <x v="2"/>
    <x v="0"/>
    <x v="1"/>
    <d v="2024-01-19T00:00:00"/>
    <x v="36"/>
  </r>
  <r>
    <x v="236"/>
    <x v="77"/>
    <x v="17"/>
    <x v="17"/>
    <s v="P003"/>
    <x v="4"/>
    <s v="Electronics"/>
    <n v="5"/>
    <n v="149.99"/>
    <x v="3"/>
    <x v="3"/>
    <x v="0"/>
    <d v="2022-09-20T00:00:00"/>
    <x v="36"/>
  </r>
  <r>
    <x v="237"/>
    <x v="71"/>
    <x v="49"/>
    <x v="49"/>
    <s v="P002"/>
    <x v="6"/>
    <s v="Electronics"/>
    <n v="3"/>
    <n v="699.99"/>
    <x v="0"/>
    <x v="2"/>
    <x v="0"/>
    <d v="2022-02-10T00:00:00"/>
    <x v="41"/>
  </r>
  <r>
    <x v="238"/>
    <x v="156"/>
    <x v="3"/>
    <x v="3"/>
    <s v="P002"/>
    <x v="6"/>
    <s v="Electronics"/>
    <n v="4"/>
    <n v="699.99"/>
    <x v="0"/>
    <x v="3"/>
    <x v="2"/>
    <d v="2021-08-01T00:00:00"/>
    <x v="9"/>
  </r>
  <r>
    <x v="239"/>
    <x v="78"/>
    <x v="22"/>
    <x v="22"/>
    <s v="P005"/>
    <x v="5"/>
    <s v="Appliances"/>
    <n v="3"/>
    <n v="59.99"/>
    <x v="1"/>
    <x v="4"/>
    <x v="1"/>
    <d v="2023-03-22T00:00:00"/>
    <x v="28"/>
  </r>
  <r>
    <x v="240"/>
    <x v="27"/>
    <x v="30"/>
    <x v="30"/>
    <s v="P005"/>
    <x v="5"/>
    <s v="Appliances"/>
    <n v="4"/>
    <n v="59.99"/>
    <x v="1"/>
    <x v="3"/>
    <x v="2"/>
    <d v="2022-11-02T00:00:00"/>
    <x v="39"/>
  </r>
  <r>
    <x v="241"/>
    <x v="157"/>
    <x v="18"/>
    <x v="18"/>
    <s v="P007"/>
    <x v="1"/>
    <s v="Furniture"/>
    <n v="4"/>
    <n v="299.99"/>
    <x v="0"/>
    <x v="1"/>
    <x v="0"/>
    <d v="2022-06-04T00:00:00"/>
    <x v="43"/>
  </r>
  <r>
    <x v="242"/>
    <x v="149"/>
    <x v="26"/>
    <x v="26"/>
    <s v="P009"/>
    <x v="7"/>
    <s v="Electronics"/>
    <n v="5"/>
    <n v="249.99"/>
    <x v="2"/>
    <x v="4"/>
    <x v="1"/>
    <d v="2024-02-08T00:00:00"/>
    <x v="11"/>
  </r>
  <r>
    <x v="243"/>
    <x v="158"/>
    <x v="15"/>
    <x v="15"/>
    <s v="P001"/>
    <x v="8"/>
    <s v="Electronics"/>
    <n v="5"/>
    <n v="899.99"/>
    <x v="1"/>
    <x v="4"/>
    <x v="2"/>
    <d v="2022-12-04T00:00:00"/>
    <x v="14"/>
  </r>
  <r>
    <x v="244"/>
    <x v="159"/>
    <x v="38"/>
    <x v="38"/>
    <s v="P006"/>
    <x v="9"/>
    <s v="Furniture"/>
    <n v="3"/>
    <n v="199.99"/>
    <x v="2"/>
    <x v="2"/>
    <x v="0"/>
    <d v="2024-01-01T00:00:00"/>
    <x v="38"/>
  </r>
  <r>
    <x v="245"/>
    <x v="103"/>
    <x v="25"/>
    <x v="25"/>
    <s v="P008"/>
    <x v="2"/>
    <s v="Furniture"/>
    <n v="3"/>
    <n v="149.99"/>
    <x v="0"/>
    <x v="2"/>
    <x v="0"/>
    <d v="2022-09-02T00:00:00"/>
    <x v="7"/>
  </r>
  <r>
    <x v="246"/>
    <x v="18"/>
    <x v="29"/>
    <x v="29"/>
    <s v="P006"/>
    <x v="9"/>
    <s v="Furniture"/>
    <n v="4"/>
    <n v="199.99"/>
    <x v="0"/>
    <x v="2"/>
    <x v="2"/>
    <d v="2021-09-19T00:00:00"/>
    <x v="32"/>
  </r>
  <r>
    <x v="247"/>
    <x v="160"/>
    <x v="33"/>
    <x v="33"/>
    <s v="P002"/>
    <x v="6"/>
    <s v="Electronics"/>
    <n v="2"/>
    <n v="699.99"/>
    <x v="2"/>
    <x v="2"/>
    <x v="0"/>
    <d v="2021-08-13T00:00:00"/>
    <x v="8"/>
  </r>
  <r>
    <x v="248"/>
    <x v="161"/>
    <x v="37"/>
    <x v="37"/>
    <s v="P001"/>
    <x v="8"/>
    <s v="Electronics"/>
    <n v="4"/>
    <n v="899.99"/>
    <x v="1"/>
    <x v="4"/>
    <x v="2"/>
    <d v="2021-11-23T00:00:00"/>
    <x v="21"/>
  </r>
  <r>
    <x v="249"/>
    <x v="135"/>
    <x v="8"/>
    <x v="8"/>
    <s v="P010"/>
    <x v="3"/>
    <s v="Electronics"/>
    <n v="2"/>
    <n v="89.99"/>
    <x v="1"/>
    <x v="1"/>
    <x v="0"/>
    <d v="2021-11-22T00:0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D66D2-9680-491F-B806-B9407EF275ED}" name="PivotTable6"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4" rowHeaderCaption="Customer">
  <location ref="A17:B27" firstHeaderRow="1" firstDataRow="1" firstDataCol="1"/>
  <pivotFields count="17">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items count="51">
        <item x="32"/>
        <item x="2"/>
        <item x="31"/>
        <item x="7"/>
        <item x="42"/>
        <item x="17"/>
        <item x="5"/>
        <item x="13"/>
        <item x="6"/>
        <item x="45"/>
        <item x="23"/>
        <item x="3"/>
        <item x="15"/>
        <item x="47"/>
        <item x="46"/>
        <item x="35"/>
        <item x="22"/>
        <item x="41"/>
        <item x="1"/>
        <item x="40"/>
        <item x="28"/>
        <item x="27"/>
        <item x="16"/>
        <item x="11"/>
        <item x="18"/>
        <item x="8"/>
        <item x="48"/>
        <item x="21"/>
        <item x="30"/>
        <item x="37"/>
        <item x="38"/>
        <item x="33"/>
        <item x="12"/>
        <item x="44"/>
        <item x="14"/>
        <item x="24"/>
        <item x="20"/>
        <item x="49"/>
        <item x="0"/>
        <item x="9"/>
        <item x="25"/>
        <item x="4"/>
        <item x="34"/>
        <item x="39"/>
        <item x="10"/>
        <item x="29"/>
        <item x="36"/>
        <item x="26"/>
        <item x="19"/>
        <item x="43"/>
        <item t="default"/>
      </items>
    </pivotField>
    <pivotField axis="axisRow" showAll="0" measureFilter="1" sortType="descending">
      <items count="51">
        <item x="20"/>
        <item x="41"/>
        <item x="21"/>
        <item x="44"/>
        <item x="22"/>
        <item x="39"/>
        <item x="1"/>
        <item x="5"/>
        <item x="34"/>
        <item x="11"/>
        <item x="10"/>
        <item x="30"/>
        <item x="35"/>
        <item x="2"/>
        <item x="12"/>
        <item x="48"/>
        <item x="36"/>
        <item x="14"/>
        <item x="37"/>
        <item x="42"/>
        <item x="13"/>
        <item x="32"/>
        <item x="15"/>
        <item x="43"/>
        <item x="8"/>
        <item x="29"/>
        <item x="28"/>
        <item x="0"/>
        <item x="47"/>
        <item x="17"/>
        <item x="40"/>
        <item x="45"/>
        <item x="18"/>
        <item x="31"/>
        <item x="49"/>
        <item x="24"/>
        <item x="3"/>
        <item x="16"/>
        <item x="25"/>
        <item x="19"/>
        <item x="46"/>
        <item x="6"/>
        <item x="4"/>
        <item x="33"/>
        <item x="7"/>
        <item x="9"/>
        <item x="38"/>
        <item x="27"/>
        <item x="26"/>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0"/>
        <item x="3"/>
        <item x="2"/>
        <item x="4"/>
        <item x="1"/>
        <item t="default"/>
      </items>
    </pivotField>
    <pivotField showAll="0"/>
    <pivotField numFmtId="14" showAll="0"/>
    <pivotField dataField="1" showAll="0">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0">
    <i>
      <x v="32"/>
    </i>
    <i>
      <x v="11"/>
    </i>
    <i>
      <x v="1"/>
    </i>
    <i>
      <x v="36"/>
    </i>
    <i>
      <x v="37"/>
    </i>
    <i>
      <x v="9"/>
    </i>
    <i>
      <x v="24"/>
    </i>
    <i>
      <x v="6"/>
    </i>
    <i>
      <x v="27"/>
    </i>
    <i>
      <x v="22"/>
    </i>
  </rowItems>
  <colItems count="1">
    <i/>
  </colItems>
  <dataFields count="1">
    <dataField name="Amount" fld="13" baseField="3" baseItem="1"/>
  </dataFields>
  <formats count="15">
    <format dxfId="14">
      <pivotArea type="all" dataOnly="0" outline="0" fieldPosition="0"/>
    </format>
    <format dxfId="13">
      <pivotArea outline="0" collapsedLevelsAreSubtotals="1" fieldPosition="0"/>
    </format>
    <format dxfId="12">
      <pivotArea field="3" type="button" dataOnly="0" labelOnly="1" outline="0" axis="axisRow" fieldPosition="0"/>
    </format>
    <format dxfId="11">
      <pivotArea dataOnly="0" labelOnly="1" fieldPosition="0">
        <references count="1">
          <reference field="3" count="10">
            <x v="1"/>
            <x v="6"/>
            <x v="9"/>
            <x v="11"/>
            <x v="22"/>
            <x v="24"/>
            <x v="27"/>
            <x v="32"/>
            <x v="36"/>
            <x v="37"/>
          </reference>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10">
            <x v="1"/>
            <x v="6"/>
            <x v="9"/>
            <x v="11"/>
            <x v="22"/>
            <x v="24"/>
            <x v="27"/>
            <x v="32"/>
            <x v="36"/>
            <x v="37"/>
          </reference>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10">
            <x v="1"/>
            <x v="6"/>
            <x v="9"/>
            <x v="11"/>
            <x v="22"/>
            <x v="24"/>
            <x v="27"/>
            <x v="32"/>
            <x v="36"/>
            <x v="37"/>
          </reference>
        </references>
      </pivotArea>
    </format>
    <format dxfId="0">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4"/>
          </reference>
        </references>
      </pivotArea>
    </chartFormat>
    <chartFormat chart="2" format="4">
      <pivotArea type="data" outline="0" fieldPosition="0">
        <references count="2">
          <reference field="4294967294" count="1" selected="0">
            <x v="0"/>
          </reference>
          <reference field="3" count="1" selected="0">
            <x v="16"/>
          </reference>
        </references>
      </pivotArea>
    </chartFormat>
    <chartFormat chart="2" format="5">
      <pivotArea type="data" outline="0" fieldPosition="0">
        <references count="2">
          <reference field="4294967294" count="1" selected="0">
            <x v="0"/>
          </reference>
          <reference field="3" count="1" selected="0">
            <x v="1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83257-667F-4CCD-8700-38E7946F3DA0}" name="PivotTable9"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 rowHeaderCaption="Days  ">
  <location ref="H4:I166" firstHeaderRow="1" firstDataRow="1" firstDataCol="1"/>
  <pivotFields count="17">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axis="axisRow" numFmtId="164" showAll="0" defaultSubtotal="0">
      <items count="162">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s>
    </pivotField>
    <pivotField showAll="0">
      <items count="51">
        <item x="32"/>
        <item x="2"/>
        <item x="31"/>
        <item x="7"/>
        <item x="42"/>
        <item x="17"/>
        <item x="5"/>
        <item x="13"/>
        <item x="6"/>
        <item x="45"/>
        <item x="23"/>
        <item x="3"/>
        <item x="15"/>
        <item x="47"/>
        <item x="46"/>
        <item x="35"/>
        <item x="22"/>
        <item x="41"/>
        <item x="1"/>
        <item x="40"/>
        <item x="28"/>
        <item x="27"/>
        <item x="16"/>
        <item x="11"/>
        <item x="18"/>
        <item x="8"/>
        <item x="48"/>
        <item x="21"/>
        <item x="30"/>
        <item x="37"/>
        <item x="38"/>
        <item x="33"/>
        <item x="12"/>
        <item x="44"/>
        <item x="14"/>
        <item x="24"/>
        <item x="20"/>
        <item x="49"/>
        <item x="0"/>
        <item x="9"/>
        <item x="25"/>
        <item x="4"/>
        <item x="34"/>
        <item x="39"/>
        <item x="10"/>
        <item x="29"/>
        <item x="36"/>
        <item x="26"/>
        <item x="19"/>
        <item x="43"/>
        <item t="default"/>
      </items>
    </pivotField>
    <pivotField showAll="0">
      <items count="51">
        <item x="20"/>
        <item x="41"/>
        <item x="21"/>
        <item x="44"/>
        <item x="22"/>
        <item x="39"/>
        <item x="1"/>
        <item x="5"/>
        <item x="34"/>
        <item x="11"/>
        <item x="10"/>
        <item x="30"/>
        <item x="35"/>
        <item x="2"/>
        <item x="12"/>
        <item x="48"/>
        <item x="36"/>
        <item x="14"/>
        <item x="37"/>
        <item x="42"/>
        <item x="13"/>
        <item x="32"/>
        <item x="15"/>
        <item x="43"/>
        <item x="8"/>
        <item x="29"/>
        <item x="28"/>
        <item x="0"/>
        <item x="47"/>
        <item x="17"/>
        <item x="40"/>
        <item x="45"/>
        <item x="18"/>
        <item x="31"/>
        <item x="49"/>
        <item x="24"/>
        <item x="3"/>
        <item x="16"/>
        <item x="25"/>
        <item x="19"/>
        <item x="46"/>
        <item x="6"/>
        <item x="4"/>
        <item x="33"/>
        <item x="7"/>
        <item x="9"/>
        <item x="38"/>
        <item x="27"/>
        <item x="26"/>
        <item x="23"/>
        <item t="default"/>
      </items>
    </pivotField>
    <pivotField showAll="0"/>
    <pivotField showAll="0" sortType="descending">
      <items count="11">
        <item x="6"/>
        <item x="9"/>
        <item x="7"/>
        <item x="8"/>
        <item x="3"/>
        <item x="4"/>
        <item x="1"/>
        <item x="0"/>
        <item x="2"/>
        <item x="5"/>
        <item t="default"/>
      </items>
    </pivotField>
    <pivotField showAll="0"/>
    <pivotField showAll="0"/>
    <pivotField showAll="0"/>
    <pivotField showAll="0">
      <items count="5">
        <item x="0"/>
        <item x="2"/>
        <item x="1"/>
        <item x="3"/>
        <item t="default"/>
      </items>
    </pivotField>
    <pivotField showAll="0">
      <items count="6">
        <item x="0"/>
        <item x="3"/>
        <item x="2"/>
        <item x="4"/>
        <item x="1"/>
        <item t="default"/>
      </items>
    </pivotField>
    <pivotField showAll="0"/>
    <pivotField numFmtId="14" showAll="0"/>
    <pivotField showAll="0">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rowItems>
  <colItems count="1">
    <i/>
  </colItems>
  <dataFields count="1">
    <dataField name="Count Transaction" fld="0" subtotal="count" baseField="1" baseItem="5"/>
  </dataFields>
  <formats count="24">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3">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
      <pivotArea dataOnly="0" labelOnly="1" fieldPosition="0">
        <references count="1">
          <reference field="1" count="12">
            <x v="150"/>
            <x v="151"/>
            <x v="152"/>
            <x v="153"/>
            <x v="154"/>
            <x v="155"/>
            <x v="156"/>
            <x v="157"/>
            <x v="158"/>
            <x v="159"/>
            <x v="160"/>
            <x v="161"/>
          </reference>
        </references>
      </pivotArea>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5">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4">
      <pivotArea dataOnly="0" labelOnly="1" fieldPosition="0">
        <references count="1">
          <reference field="1" count="12">
            <x v="150"/>
            <x v="151"/>
            <x v="152"/>
            <x v="153"/>
            <x v="154"/>
            <x v="155"/>
            <x v="156"/>
            <x v="157"/>
            <x v="158"/>
            <x v="159"/>
            <x v="160"/>
            <x v="161"/>
          </reference>
        </references>
      </pivotArea>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6">
      <pivotArea dataOnly="0" labelOnly="1" fieldPosition="0">
        <references count="1">
          <reference field="1" count="12">
            <x v="150"/>
            <x v="151"/>
            <x v="152"/>
            <x v="153"/>
            <x v="154"/>
            <x v="155"/>
            <x v="156"/>
            <x v="157"/>
            <x v="158"/>
            <x v="159"/>
            <x v="160"/>
            <x v="161"/>
          </reference>
        </references>
      </pivotArea>
    </format>
    <format dxfId="1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31AE5-289E-4032-A01E-DA1A7DFA7825}"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8:A9" firstHeaderRow="1" firstDataRow="1" firstDataCol="0"/>
  <pivotFields count="17">
    <pivotField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dataField="1" showAll="0"/>
    <pivotField showAll="0"/>
    <pivotField showAll="0"/>
    <pivotField showAll="0">
      <items count="6">
        <item x="0"/>
        <item x="3"/>
        <item x="2"/>
        <item x="4"/>
        <item x="1"/>
        <item t="default"/>
      </items>
    </pivotField>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 TotalQuantitySold" fld="7" baseField="0" baseItem="0"/>
  </dataFields>
  <formats count="8">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FB2BCC-AF9F-4827-8C79-269F53983A0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17">
    <pivotField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showAll="0"/>
    <pivotField showAll="0"/>
    <pivotField showAll="0"/>
    <pivotField showAll="0">
      <items count="6">
        <item x="0"/>
        <item x="3"/>
        <item x="2"/>
        <item x="4"/>
        <item x="1"/>
        <item t="default"/>
      </items>
    </pivotField>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Revenue" fld="13" baseField="0" baseItem="0"/>
  </dataFields>
  <formats count="8">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E16BC-656A-4968-9FB1-0CF108D9D61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17">
    <pivotField dataField="1"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showAll="0"/>
    <pivotField showAll="0"/>
    <pivotField showAll="0"/>
    <pivotField showAll="0">
      <items count="6">
        <item x="0"/>
        <item x="3"/>
        <item x="2"/>
        <item x="4"/>
        <item x="1"/>
        <item t="default"/>
      </items>
    </pivotField>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Transaction" fld="0" subtotal="count" baseField="0" baseItem="0"/>
  </dataFields>
  <formats count="8">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20F81F-BE55-4BE5-81A5-23553067F39F}" name="PivotTable8"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4" rowHeaderCaption="Pyment Method">
  <location ref="D18:E22" firstHeaderRow="1" firstDataRow="1" firstDataCol="1"/>
  <pivotFields count="17">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items count="51">
        <item x="32"/>
        <item x="2"/>
        <item x="31"/>
        <item x="7"/>
        <item x="42"/>
        <item x="17"/>
        <item x="5"/>
        <item x="13"/>
        <item x="6"/>
        <item x="45"/>
        <item x="23"/>
        <item x="3"/>
        <item x="15"/>
        <item x="47"/>
        <item x="46"/>
        <item x="35"/>
        <item x="22"/>
        <item x="41"/>
        <item x="1"/>
        <item x="40"/>
        <item x="28"/>
        <item x="27"/>
        <item x="16"/>
        <item x="11"/>
        <item x="18"/>
        <item x="8"/>
        <item x="48"/>
        <item x="21"/>
        <item x="30"/>
        <item x="37"/>
        <item x="38"/>
        <item x="33"/>
        <item x="12"/>
        <item x="44"/>
        <item x="14"/>
        <item x="24"/>
        <item x="20"/>
        <item x="49"/>
        <item x="0"/>
        <item x="9"/>
        <item x="25"/>
        <item x="4"/>
        <item x="34"/>
        <item x="39"/>
        <item x="10"/>
        <item x="29"/>
        <item x="36"/>
        <item x="26"/>
        <item x="19"/>
        <item x="43"/>
        <item t="default"/>
      </items>
    </pivotField>
    <pivotField showAll="0">
      <items count="51">
        <item x="20"/>
        <item x="41"/>
        <item x="21"/>
        <item x="44"/>
        <item x="22"/>
        <item x="39"/>
        <item x="1"/>
        <item x="5"/>
        <item x="34"/>
        <item x="11"/>
        <item x="10"/>
        <item x="30"/>
        <item x="35"/>
        <item x="2"/>
        <item x="12"/>
        <item x="48"/>
        <item x="36"/>
        <item x="14"/>
        <item x="37"/>
        <item x="42"/>
        <item x="13"/>
        <item x="32"/>
        <item x="15"/>
        <item x="43"/>
        <item x="8"/>
        <item x="29"/>
        <item x="28"/>
        <item x="0"/>
        <item x="47"/>
        <item x="17"/>
        <item x="40"/>
        <item x="45"/>
        <item x="18"/>
        <item x="31"/>
        <item x="49"/>
        <item x="24"/>
        <item x="3"/>
        <item x="16"/>
        <item x="25"/>
        <item x="19"/>
        <item x="46"/>
        <item x="6"/>
        <item x="4"/>
        <item x="33"/>
        <item x="7"/>
        <item x="9"/>
        <item x="38"/>
        <item x="27"/>
        <item x="26"/>
        <item x="23"/>
        <item t="default"/>
      </items>
    </pivotField>
    <pivotField showAll="0"/>
    <pivotField showAll="0" sortType="descending">
      <items count="11">
        <item x="6"/>
        <item x="9"/>
        <item x="7"/>
        <item x="8"/>
        <item x="3"/>
        <item x="4"/>
        <item x="1"/>
        <item x="0"/>
        <item x="2"/>
        <item x="5"/>
        <item t="default"/>
      </items>
    </pivotField>
    <pivotField showAll="0"/>
    <pivotField showAll="0"/>
    <pivotField showAll="0"/>
    <pivotField axis="axisRow" dataField="1" showAll="0">
      <items count="5">
        <item x="0"/>
        <item x="2"/>
        <item x="1"/>
        <item x="3"/>
        <item t="default"/>
      </items>
    </pivotField>
    <pivotField showAll="0">
      <items count="6">
        <item x="0"/>
        <item x="3"/>
        <item x="2"/>
        <item x="4"/>
        <item x="1"/>
        <item t="default"/>
      </items>
    </pivotField>
    <pivotField showAll="0"/>
    <pivotField numFmtId="14" showAll="0"/>
    <pivotField showAll="0">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4">
    <i>
      <x/>
    </i>
    <i>
      <x v="1"/>
    </i>
    <i>
      <x v="2"/>
    </i>
    <i>
      <x v="3"/>
    </i>
  </rowItems>
  <colItems count="1">
    <i/>
  </colItems>
  <dataFields count="1">
    <dataField name="Count of Payment_Method" fld="9" subtotal="count" baseField="0" baseItem="0" numFmtId="10">
      <extLst>
        <ext xmlns:x14="http://schemas.microsoft.com/office/spreadsheetml/2009/9/main" uri="{E15A36E0-9728-4e99-A89B-3F7291B0FE68}">
          <x14:dataField pivotShowAs="percentOfParentRow"/>
        </ext>
      </extLst>
    </dataField>
  </dataFields>
  <formats count="15">
    <format dxfId="77">
      <pivotArea type="all" dataOnly="0" outline="0" fieldPosition="0"/>
    </format>
    <format dxfId="76">
      <pivotArea outline="0" collapsedLevelsAreSubtotals="1" fieldPosition="0"/>
    </format>
    <format dxfId="75">
      <pivotArea field="9" type="button" dataOnly="0" labelOnly="1" outline="0" axis="axisRow" fieldPosition="0"/>
    </format>
    <format dxfId="74">
      <pivotArea dataOnly="0" labelOnly="1" fieldPosition="0">
        <references count="1">
          <reference field="9" count="0"/>
        </references>
      </pivotArea>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9" type="button" dataOnly="0" labelOnly="1" outline="0" axis="axisRow" fieldPosition="0"/>
    </format>
    <format dxfId="69">
      <pivotArea dataOnly="0" labelOnly="1" fieldPosition="0">
        <references count="1">
          <reference field="9" count="0"/>
        </references>
      </pivotArea>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9" type="button" dataOnly="0" labelOnly="1" outline="0" axis="axisRow" fieldPosition="0"/>
    </format>
    <format dxfId="64">
      <pivotArea dataOnly="0" labelOnly="1" fieldPosition="0">
        <references count="1">
          <reference field="9" count="0"/>
        </references>
      </pivotArea>
    </format>
    <format dxfId="6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4AC295-36F3-4BC3-B794-E2D9757B0C2D}" name="PivotTable10"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6" rowHeaderCaption="Customer Segment">
  <location ref="K4:L7" firstHeaderRow="1" firstDataRow="1" firstDataCol="1"/>
  <pivotFields count="17">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items count="51">
        <item x="32"/>
        <item x="2"/>
        <item x="31"/>
        <item x="7"/>
        <item x="42"/>
        <item x="17"/>
        <item x="5"/>
        <item x="13"/>
        <item x="6"/>
        <item x="45"/>
        <item x="23"/>
        <item x="3"/>
        <item x="15"/>
        <item x="47"/>
        <item x="46"/>
        <item x="35"/>
        <item x="22"/>
        <item x="41"/>
        <item x="1"/>
        <item x="40"/>
        <item x="28"/>
        <item x="27"/>
        <item x="16"/>
        <item x="11"/>
        <item x="18"/>
        <item x="8"/>
        <item x="48"/>
        <item x="21"/>
        <item x="30"/>
        <item x="37"/>
        <item x="38"/>
        <item x="33"/>
        <item x="12"/>
        <item x="44"/>
        <item x="14"/>
        <item x="24"/>
        <item x="20"/>
        <item x="49"/>
        <item x="0"/>
        <item x="9"/>
        <item x="25"/>
        <item x="4"/>
        <item x="34"/>
        <item x="39"/>
        <item x="10"/>
        <item x="29"/>
        <item x="36"/>
        <item x="26"/>
        <item x="19"/>
        <item x="43"/>
        <item t="default"/>
      </items>
    </pivotField>
    <pivotField showAll="0">
      <items count="51">
        <item x="20"/>
        <item x="41"/>
        <item x="21"/>
        <item x="44"/>
        <item x="22"/>
        <item x="39"/>
        <item x="1"/>
        <item x="5"/>
        <item x="34"/>
        <item x="11"/>
        <item x="10"/>
        <item x="30"/>
        <item x="35"/>
        <item x="2"/>
        <item x="12"/>
        <item x="48"/>
        <item x="36"/>
        <item x="14"/>
        <item x="37"/>
        <item x="42"/>
        <item x="13"/>
        <item x="32"/>
        <item x="15"/>
        <item x="43"/>
        <item x="8"/>
        <item x="29"/>
        <item x="28"/>
        <item x="0"/>
        <item x="47"/>
        <item x="17"/>
        <item x="40"/>
        <item x="45"/>
        <item x="18"/>
        <item x="31"/>
        <item x="49"/>
        <item x="24"/>
        <item x="3"/>
        <item x="16"/>
        <item x="25"/>
        <item x="19"/>
        <item x="46"/>
        <item x="6"/>
        <item x="4"/>
        <item x="33"/>
        <item x="7"/>
        <item x="9"/>
        <item x="38"/>
        <item x="27"/>
        <item x="26"/>
        <item x="23"/>
        <item t="default"/>
      </items>
    </pivotField>
    <pivotField showAll="0"/>
    <pivotField showAll="0" sortType="descending">
      <items count="11">
        <item x="6"/>
        <item x="9"/>
        <item x="7"/>
        <item x="8"/>
        <item x="3"/>
        <item x="4"/>
        <item x="1"/>
        <item x="0"/>
        <item x="2"/>
        <item x="5"/>
        <item t="default"/>
      </items>
    </pivotField>
    <pivotField showAll="0"/>
    <pivotField showAll="0"/>
    <pivotField showAll="0"/>
    <pivotField showAll="0">
      <items count="5">
        <item x="0"/>
        <item x="2"/>
        <item x="1"/>
        <item x="3"/>
        <item t="default"/>
      </items>
    </pivotField>
    <pivotField showAll="0">
      <items count="6">
        <item x="0"/>
        <item x="3"/>
        <item x="2"/>
        <item x="4"/>
        <item x="1"/>
        <item t="default"/>
      </items>
    </pivotField>
    <pivotField axis="axisRow" dataField="1" showAll="0">
      <items count="4">
        <item x="1"/>
        <item x="0"/>
        <item x="2"/>
        <item t="default"/>
      </items>
    </pivotField>
    <pivotField numFmtId="14" showAll="0"/>
    <pivotField showAll="0">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3">
    <i>
      <x/>
    </i>
    <i>
      <x v="1"/>
    </i>
    <i>
      <x v="2"/>
    </i>
  </rowItems>
  <colItems count="1">
    <i/>
  </colItems>
  <dataFields count="1">
    <dataField name="Count of Customer_Segment" fld="11" subtotal="count" baseField="0" baseItem="0" numFmtId="10">
      <extLst>
        <ext xmlns:x14="http://schemas.microsoft.com/office/spreadsheetml/2009/9/main" uri="{E15A36E0-9728-4e99-A89B-3F7291B0FE68}">
          <x14:dataField pivotShowAs="percentOfParentRow"/>
        </ext>
      </extLst>
    </dataField>
  </dataFields>
  <formats count="15">
    <format dxfId="92">
      <pivotArea type="all" dataOnly="0" outline="0" fieldPosition="0"/>
    </format>
    <format dxfId="91">
      <pivotArea outline="0" collapsedLevelsAreSubtotals="1" fieldPosition="0"/>
    </format>
    <format dxfId="90">
      <pivotArea field="11" type="button" dataOnly="0" labelOnly="1" outline="0" axis="axisRow" fieldPosition="0"/>
    </format>
    <format dxfId="89">
      <pivotArea dataOnly="0" labelOnly="1" fieldPosition="0">
        <references count="1">
          <reference field="11" count="0"/>
        </references>
      </pivotArea>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11" type="button" dataOnly="0" labelOnly="1" outline="0" axis="axisRow" fieldPosition="0"/>
    </format>
    <format dxfId="84">
      <pivotArea dataOnly="0" labelOnly="1" fieldPosition="0">
        <references count="1">
          <reference field="11" count="0"/>
        </references>
      </pivotArea>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1" type="button" dataOnly="0" labelOnly="1" outline="0" axis="axisRow" fieldPosition="0"/>
    </format>
    <format dxfId="79">
      <pivotArea dataOnly="0" labelOnly="1" fieldPosition="0">
        <references count="1">
          <reference field="11" count="0"/>
        </references>
      </pivotArea>
    </format>
    <format dxfId="78">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B3AB99-3744-45C3-ACD7-D7E57732A285}"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0:B40" firstHeaderRow="1" firstDataRow="1" firstDataCol="1"/>
  <pivotFields count="17">
    <pivotField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sortType="descending" maxSubtotal="1">
      <items count="51">
        <item h="1" x="23"/>
        <item h="1" x="26"/>
        <item h="1" x="27"/>
        <item h="1" x="38"/>
        <item h="1" x="9"/>
        <item h="1" x="7"/>
        <item h="1" x="33"/>
        <item h="1" x="4"/>
        <item h="1" x="6"/>
        <item h="1" x="46"/>
        <item h="1" x="19"/>
        <item h="1" x="25"/>
        <item h="1" x="16"/>
        <item h="1" x="3"/>
        <item h="1" x="24"/>
        <item h="1" x="49"/>
        <item h="1" x="31"/>
        <item x="18"/>
        <item h="1" x="45"/>
        <item h="1" x="40"/>
        <item h="1" x="17"/>
        <item h="1" x="47"/>
        <item h="1" x="0"/>
        <item h="1" x="28"/>
        <item h="1" x="29"/>
        <item h="1" x="8"/>
        <item h="1" x="43"/>
        <item h="1" x="15"/>
        <item h="1" x="32"/>
        <item h="1" x="13"/>
        <item h="1" x="42"/>
        <item h="1" x="37"/>
        <item h="1" x="14"/>
        <item h="1" x="36"/>
        <item h="1" x="48"/>
        <item h="1" x="12"/>
        <item h="1" x="2"/>
        <item h="1" x="35"/>
        <item h="1" x="30"/>
        <item h="1" x="10"/>
        <item h="1" x="11"/>
        <item h="1" x="34"/>
        <item h="1" x="5"/>
        <item h="1" x="1"/>
        <item h="1" x="39"/>
        <item h="1" x="22"/>
        <item h="1" x="44"/>
        <item h="1" x="21"/>
        <item h="1" x="41"/>
        <item h="1" x="20"/>
        <item t="max"/>
      </items>
      <autoSortScope>
        <pivotArea dataOnly="0" outline="0" fieldPosition="0">
          <references count="1">
            <reference field="4294967294" count="1" selected="0">
              <x v="0"/>
            </reference>
          </references>
        </pivotArea>
      </autoSortScope>
    </pivotField>
    <pivotField showAll="0"/>
    <pivotField axis="axisRow" showAll="0" sortType="descending">
      <items count="11">
        <item x="5"/>
        <item x="2"/>
        <item x="0"/>
        <item x="1"/>
        <item x="4"/>
        <item x="3"/>
        <item x="8"/>
        <item x="7"/>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showAll="0" includeNewItemsInFilter="1" maxSubtotal="1">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max"/>
      </items>
    </pivotField>
    <pivotField showAll="0" defaultSubtotal="0"/>
    <pivotField showAll="0" defaultSubtotal="0"/>
    <pivotField showAll="0" defaultSubtotal="0">
      <items count="4">
        <item x="0"/>
        <item x="1"/>
        <item x="2"/>
        <item x="3"/>
      </items>
    </pivotField>
  </pivotFields>
  <rowFields count="1">
    <field x="5"/>
  </rowFields>
  <rowItems count="10">
    <i>
      <x v="6"/>
    </i>
    <i>
      <x v="9"/>
    </i>
    <i>
      <x v="3"/>
    </i>
    <i>
      <x v="7"/>
    </i>
    <i>
      <x v="1"/>
    </i>
    <i>
      <x v="8"/>
    </i>
    <i>
      <x v="5"/>
    </i>
    <i>
      <x v="4"/>
    </i>
    <i>
      <x/>
    </i>
    <i>
      <x v="2"/>
    </i>
  </rowItems>
  <colItems count="1">
    <i/>
  </colItems>
  <dataFields count="1">
    <dataField name="Sum of Total_Amount" fld="13" baseField="0" baseItem="0"/>
  </dataFields>
  <formats count="15">
    <format dxfId="107">
      <pivotArea type="all" dataOnly="0" outline="0" fieldPosition="0"/>
    </format>
    <format dxfId="106">
      <pivotArea outline="0" collapsedLevelsAreSubtotals="1" fieldPosition="0"/>
    </format>
    <format dxfId="105">
      <pivotArea field="3" type="button" dataOnly="0" labelOnly="1" outline="0"/>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5" type="button" dataOnly="0" labelOnly="1" outline="0" axis="axisRow" fieldPosition="0"/>
    </format>
    <format dxfId="99">
      <pivotArea dataOnly="0" labelOnly="1" fieldPosition="0">
        <references count="1">
          <reference field="5" count="0"/>
        </references>
      </pivotArea>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5" type="button" dataOnly="0" labelOnly="1" outline="0" axis="axisRow" fieldPosition="0"/>
    </format>
    <format dxfId="94">
      <pivotArea dataOnly="0" labelOnly="1" fieldPosition="0">
        <references count="1">
          <reference field="5" count="0"/>
        </references>
      </pivotArea>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A76B5B-8BF1-418B-89D7-39554B4E2D06}"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D25:E26" firstHeaderRow="1" firstDataRow="1" firstDataCol="1"/>
  <pivotFields count="17">
    <pivotField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axis="axisRow" showAll="0" sortType="descending" maxSubtotal="1">
      <items count="51">
        <item h="1" x="23"/>
        <item h="1" x="26"/>
        <item h="1" x="27"/>
        <item h="1" x="38"/>
        <item h="1" x="9"/>
        <item h="1" x="7"/>
        <item h="1" x="33"/>
        <item h="1" x="4"/>
        <item h="1" x="6"/>
        <item h="1" x="46"/>
        <item h="1" x="19"/>
        <item h="1" x="25"/>
        <item h="1" x="16"/>
        <item h="1" x="3"/>
        <item h="1" x="24"/>
        <item h="1" x="49"/>
        <item h="1" x="31"/>
        <item x="18"/>
        <item h="1" x="45"/>
        <item h="1" x="40"/>
        <item h="1" x="17"/>
        <item h="1" x="47"/>
        <item h="1" x="0"/>
        <item h="1" x="28"/>
        <item h="1" x="29"/>
        <item h="1" x="8"/>
        <item h="1" x="43"/>
        <item h="1" x="15"/>
        <item h="1" x="32"/>
        <item h="1" x="13"/>
        <item h="1" x="42"/>
        <item h="1" x="37"/>
        <item h="1" x="14"/>
        <item h="1" x="36"/>
        <item h="1" x="48"/>
        <item h="1" x="12"/>
        <item h="1" x="2"/>
        <item h="1" x="35"/>
        <item h="1" x="30"/>
        <item h="1" x="10"/>
        <item h="1" x="11"/>
        <item h="1" x="34"/>
        <item h="1" x="5"/>
        <item h="1" x="1"/>
        <item h="1" x="39"/>
        <item h="1" x="22"/>
        <item h="1" x="44"/>
        <item h="1" x="21"/>
        <item h="1" x="41"/>
        <item h="1" x="20"/>
        <item t="max"/>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dataField="1" showAll="0" includeNewItemsInFilter="1" maxSubtotal="1">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max"/>
      </items>
    </pivotField>
    <pivotField showAll="0" defaultSubtotal="0"/>
    <pivotField showAll="0" defaultSubtotal="0"/>
    <pivotField showAll="0" defaultSubtotal="0">
      <items count="4">
        <item x="0"/>
        <item x="1"/>
        <item x="2"/>
        <item x="3"/>
      </items>
    </pivotField>
  </pivotFields>
  <rowFields count="1">
    <field x="3"/>
  </rowFields>
  <rowItems count="1">
    <i>
      <x v="17"/>
    </i>
  </rowItems>
  <colItems count="1">
    <i/>
  </colItems>
  <dataFields count="1">
    <dataField name="Sum of Total_Amount" fld="13" baseField="0" baseItem="0"/>
  </dataFields>
  <formats count="16">
    <format dxfId="123">
      <pivotArea type="all" dataOnly="0" outline="0" fieldPosition="0"/>
    </format>
    <format dxfId="122">
      <pivotArea outline="0" collapsedLevelsAreSubtotals="1" fieldPosition="0"/>
    </format>
    <format dxfId="121">
      <pivotArea field="3" type="button" dataOnly="0" labelOnly="1" outline="0" axis="axisRow" fieldPosition="0"/>
    </format>
    <format dxfId="120">
      <pivotArea dataOnly="0" labelOnly="1" fieldPosition="0">
        <references count="1">
          <reference field="3"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3" type="button" dataOnly="0" labelOnly="1" outline="0" axis="axisRow" fieldPosition="0"/>
    </format>
    <format dxfId="114">
      <pivotArea dataOnly="0" labelOnly="1" fieldPosition="0">
        <references count="1">
          <reference field="3" count="0"/>
        </references>
      </pivotArea>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3" type="button" dataOnly="0" labelOnly="1" outline="0" axis="axisRow" fieldPosition="0"/>
    </format>
    <format dxfId="109">
      <pivotArea dataOnly="0" labelOnly="1" fieldPosition="0">
        <references count="1">
          <reference field="3" count="0"/>
        </references>
      </pivotArea>
    </format>
    <format dxfId="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4765DE-05DE-477E-BFC9-DEA5014AD4E9}" name="PivotTable7"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 rowHeaderCaption="Product">
  <location ref="D4:E14" firstHeaderRow="1" firstDataRow="1" firstDataCol="1"/>
  <pivotFields count="17">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items count="51">
        <item x="32"/>
        <item x="2"/>
        <item x="31"/>
        <item x="7"/>
        <item x="42"/>
        <item x="17"/>
        <item x="5"/>
        <item x="13"/>
        <item x="6"/>
        <item x="45"/>
        <item x="23"/>
        <item x="3"/>
        <item x="15"/>
        <item x="47"/>
        <item x="46"/>
        <item x="35"/>
        <item x="22"/>
        <item x="41"/>
        <item x="1"/>
        <item x="40"/>
        <item x="28"/>
        <item x="27"/>
        <item x="16"/>
        <item x="11"/>
        <item x="18"/>
        <item x="8"/>
        <item x="48"/>
        <item x="21"/>
        <item x="30"/>
        <item x="37"/>
        <item x="38"/>
        <item x="33"/>
        <item x="12"/>
        <item x="44"/>
        <item x="14"/>
        <item x="24"/>
        <item x="20"/>
        <item x="49"/>
        <item x="0"/>
        <item x="9"/>
        <item x="25"/>
        <item x="4"/>
        <item x="34"/>
        <item x="39"/>
        <item x="10"/>
        <item x="29"/>
        <item x="36"/>
        <item x="26"/>
        <item x="19"/>
        <item x="43"/>
        <item t="default"/>
      </items>
    </pivotField>
    <pivotField showAll="0" measureFilter="1">
      <items count="51">
        <item x="20"/>
        <item x="41"/>
        <item x="21"/>
        <item x="44"/>
        <item x="22"/>
        <item x="39"/>
        <item x="1"/>
        <item x="5"/>
        <item x="34"/>
        <item x="11"/>
        <item x="10"/>
        <item x="30"/>
        <item x="35"/>
        <item x="2"/>
        <item x="12"/>
        <item x="48"/>
        <item x="36"/>
        <item x="14"/>
        <item x="37"/>
        <item x="42"/>
        <item x="13"/>
        <item x="32"/>
        <item x="15"/>
        <item x="43"/>
        <item x="8"/>
        <item x="29"/>
        <item x="28"/>
        <item x="0"/>
        <item x="47"/>
        <item x="17"/>
        <item x="40"/>
        <item x="45"/>
        <item x="18"/>
        <item x="31"/>
        <item x="49"/>
        <item x="24"/>
        <item x="3"/>
        <item x="16"/>
        <item x="25"/>
        <item x="19"/>
        <item x="46"/>
        <item x="6"/>
        <item x="4"/>
        <item x="33"/>
        <item x="7"/>
        <item x="9"/>
        <item x="38"/>
        <item x="27"/>
        <item x="26"/>
        <item x="23"/>
        <item t="default"/>
      </items>
    </pivotField>
    <pivotField showAll="0"/>
    <pivotField axis="axisRow" showAll="0" sortType="descending">
      <items count="11">
        <item x="6"/>
        <item x="9"/>
        <item x="7"/>
        <item x="8"/>
        <item x="3"/>
        <item x="4"/>
        <item x="1"/>
        <item x="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3"/>
        <item x="2"/>
        <item x="4"/>
        <item x="1"/>
        <item t="default"/>
      </items>
    </pivotField>
    <pivotField showAll="0"/>
    <pivotField numFmtId="14" showAll="0"/>
    <pivotField dataField="1" showAll="0">
      <items count="45">
        <item x="34"/>
        <item x="27"/>
        <item x="31"/>
        <item x="5"/>
        <item x="15"/>
        <item x="28"/>
        <item x="6"/>
        <item x="42"/>
        <item x="39"/>
        <item x="0"/>
        <item x="25"/>
        <item x="33"/>
        <item x="10"/>
        <item x="2"/>
        <item x="16"/>
        <item x="23"/>
        <item x="18"/>
        <item x="35"/>
        <item x="40"/>
        <item x="3"/>
        <item x="7"/>
        <item x="24"/>
        <item x="4"/>
        <item x="38"/>
        <item x="30"/>
        <item x="29"/>
        <item x="36"/>
        <item x="17"/>
        <item x="32"/>
        <item x="1"/>
        <item x="19"/>
        <item x="20"/>
        <item x="37"/>
        <item x="43"/>
        <item x="11"/>
        <item x="8"/>
        <item x="26"/>
        <item x="22"/>
        <item x="41"/>
        <item x="12"/>
        <item x="9"/>
        <item x="13"/>
        <item x="21"/>
        <item x="14"/>
        <item t="default"/>
      </items>
    </pivotField>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0">
    <i>
      <x v="3"/>
    </i>
    <i>
      <x/>
    </i>
    <i>
      <x v="6"/>
    </i>
    <i>
      <x v="2"/>
    </i>
    <i>
      <x v="8"/>
    </i>
    <i>
      <x v="1"/>
    </i>
    <i>
      <x v="4"/>
    </i>
    <i>
      <x v="5"/>
    </i>
    <i>
      <x v="9"/>
    </i>
    <i>
      <x v="7"/>
    </i>
  </rowItems>
  <colItems count="1">
    <i/>
  </colItems>
  <dataFields count="1">
    <dataField name="Amount" fld="13" baseField="3" baseItem="1"/>
  </dataFields>
  <formats count="15">
    <format dxfId="138">
      <pivotArea type="all" dataOnly="0" outline="0" fieldPosition="0"/>
    </format>
    <format dxfId="137">
      <pivotArea outline="0" collapsedLevelsAreSubtotals="1" fieldPosition="0"/>
    </format>
    <format dxfId="136">
      <pivotArea field="5" type="button" dataOnly="0" labelOnly="1" outline="0" axis="axisRow" fieldPosition="0"/>
    </format>
    <format dxfId="135">
      <pivotArea dataOnly="0" labelOnly="1" fieldPosition="0">
        <references count="1">
          <reference field="5" count="0"/>
        </references>
      </pivotArea>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5" type="button" dataOnly="0" labelOnly="1" outline="0" axis="axisRow" fieldPosition="0"/>
    </format>
    <format dxfId="130">
      <pivotArea dataOnly="0" labelOnly="1" fieldPosition="0">
        <references count="1">
          <reference field="5" count="0"/>
        </references>
      </pivotArea>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5" type="button" dataOnly="0" labelOnly="1" outline="0" axis="axisRow" fieldPosition="0"/>
    </format>
    <format dxfId="125">
      <pivotArea dataOnly="0" labelOnly="1" fieldPosition="0">
        <references count="1">
          <reference field="5" count="0"/>
        </references>
      </pivotArea>
    </format>
    <format dxfId="12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6CD8ED-C89A-4F64-9EEA-717112FDAEDB}" sourceName="Region">
  <pivotTables>
    <pivotTable tabId="6" name="PivotTable7"/>
    <pivotTable tabId="6" name="PivotTable3"/>
    <pivotTable tabId="6" name="PivotTable4"/>
    <pivotTable tabId="6" name="PivotTable5"/>
    <pivotTable tabId="6" name="PivotTable6"/>
    <pivotTable tabId="6" name="PivotTable10"/>
    <pivotTable tabId="6" name="PivotTable8"/>
    <pivotTable tabId="6" name="PivotTable9"/>
  </pivotTables>
  <data>
    <tabular pivotCacheId="616882909" showMissing="0">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F01975-2C88-41E4-9EF6-6766B2D3702F}" cache="Slicer_Region" caption="Region" showCaption="0" style="MYSclier"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950578D-E6C2-4DEC-91F7-77FAB436D256}" sourceName="Date">
  <pivotTables>
    <pivotTable tabId="6" name="PivotTable10"/>
    <pivotTable tabId="6" name="PivotTable6"/>
    <pivotTable tabId="6" name="PivotTable7"/>
    <pivotTable tabId="6" name="PivotTable9"/>
    <pivotTable tabId="6" name="PivotTable8"/>
  </pivotTables>
  <state minimalRefreshVersion="6" lastRefreshVersion="6" pivotCacheId="61688290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9D704C1-5146-4395-9864-38E744AB020D}" cache="NativeTimeline_Date" caption="Date" showHeader="0" showSelectionLabel="0" showTimeLevel="0" showHorizontalScrollbar="0" level="1" selectionLevel="1" scrollPosition="2024-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FE17-0111-41DB-864B-C46D2FFF776F}">
  <dimension ref="A1"/>
  <sheetViews>
    <sheetView showGridLines="0" showRowColHeaders="0" tabSelected="1" zoomScaleNormal="100" workbookViewId="0">
      <selection activeCell="I20" sqref="I20"/>
    </sheetView>
  </sheetViews>
  <sheetFormatPr defaultRowHeight="15" x14ac:dyDescent="0.25"/>
  <cols>
    <col min="1" max="6" width="9.140625" style="23"/>
    <col min="7" max="8" width="9.140625" style="23" customWidth="1"/>
    <col min="9" max="16" width="9.140625" style="23"/>
    <col min="17" max="17" width="9.140625" style="23" customWidth="1"/>
    <col min="18" max="18" width="9.140625" style="23"/>
    <col min="19" max="19" width="9.140625" style="23" customWidth="1"/>
    <col min="20" max="16384" width="9.140625" style="2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B05D-3D3B-4915-BF1D-FBC7E5BECA63}">
  <dimension ref="A1:O182"/>
  <sheetViews>
    <sheetView workbookViewId="0">
      <selection activeCell="C20" sqref="C20"/>
    </sheetView>
  </sheetViews>
  <sheetFormatPr defaultRowHeight="15" x14ac:dyDescent="0.25"/>
  <cols>
    <col min="1" max="1" width="29.28515625" customWidth="1"/>
    <col min="2" max="2" width="29.85546875" customWidth="1"/>
    <col min="3" max="3" width="29.42578125" customWidth="1"/>
    <col min="4" max="4" width="25.28515625" customWidth="1"/>
    <col min="5" max="5" width="20.42578125" customWidth="1"/>
    <col min="6" max="6" width="15.5703125" bestFit="1" customWidth="1"/>
    <col min="7" max="7" width="21.42578125" customWidth="1"/>
    <col min="8" max="8" width="20" customWidth="1"/>
    <col min="9" max="9" width="13" customWidth="1"/>
    <col min="10" max="11" width="17.28515625" customWidth="1"/>
    <col min="12" max="12" width="18" bestFit="1" customWidth="1"/>
    <col min="13" max="13" width="17.5703125" customWidth="1"/>
    <col min="14" max="14" width="20.5703125" customWidth="1"/>
    <col min="15" max="15" width="13.7109375" customWidth="1"/>
  </cols>
  <sheetData>
    <row r="1" spans="1:14" x14ac:dyDescent="0.25">
      <c r="A1" s="1" t="s">
        <v>399</v>
      </c>
    </row>
    <row r="2" spans="1:14" x14ac:dyDescent="0.25">
      <c r="A2" s="1"/>
    </row>
    <row r="3" spans="1:14" x14ac:dyDescent="0.25">
      <c r="A3" s="22" t="s">
        <v>448</v>
      </c>
    </row>
    <row r="4" spans="1:14" x14ac:dyDescent="0.25">
      <c r="A4" s="59" t="s">
        <v>405</v>
      </c>
      <c r="B4" s="59" t="s">
        <v>177</v>
      </c>
    </row>
    <row r="5" spans="1:14" x14ac:dyDescent="0.25">
      <c r="A5" s="59"/>
      <c r="B5" s="59"/>
    </row>
    <row r="7" spans="1:14" hidden="1" x14ac:dyDescent="0.25">
      <c r="A7" s="4"/>
      <c r="B7" s="4"/>
      <c r="C7" s="4"/>
      <c r="D7" s="4"/>
      <c r="E7" s="4"/>
      <c r="F7" s="4"/>
      <c r="G7" s="4"/>
      <c r="H7" s="4"/>
      <c r="I7" s="4"/>
      <c r="J7" s="4"/>
      <c r="K7" s="4"/>
      <c r="L7" s="4"/>
      <c r="M7" s="4"/>
      <c r="N7" s="4"/>
    </row>
    <row r="8" spans="1:14" hidden="1" x14ac:dyDescent="0.25">
      <c r="A8" s="5"/>
      <c r="B8" s="6"/>
      <c r="C8" s="5"/>
      <c r="D8" s="5"/>
      <c r="E8" s="5"/>
      <c r="F8" s="5"/>
      <c r="G8" s="5"/>
      <c r="H8" s="5"/>
      <c r="I8" s="5"/>
      <c r="J8" s="5"/>
      <c r="K8" s="5"/>
      <c r="L8" s="5"/>
      <c r="M8" s="5"/>
      <c r="N8" s="5"/>
    </row>
    <row r="9" spans="1:14" hidden="1" x14ac:dyDescent="0.25"/>
    <row r="10" spans="1:14" hidden="1" x14ac:dyDescent="0.25"/>
    <row r="11" spans="1:14" x14ac:dyDescent="0.25">
      <c r="A11" s="7" t="str" cm="1">
        <f t="array" aca="1" ref="A11:A25" ca="1">TRANSPOSE(INDIRECT("'"&amp;$A$1&amp;"'!A1:O1"))</f>
        <v>Transaction_ID</v>
      </c>
      <c r="B11" s="2" t="str" cm="1">
        <f t="array" ref="B11:B25">TRANSPOSE(_xlfn.XLOOKUP(B4,'Raw Data'!$A$2:$A$251,'Raw Data'!A2:O251))</f>
        <v>TRX0127</v>
      </c>
      <c r="D11" s="60" t="s">
        <v>400</v>
      </c>
      <c r="E11" s="60"/>
      <c r="F11" s="62">
        <f>EOMONTH(B12,0)</f>
        <v>45473</v>
      </c>
      <c r="G11" s="62"/>
    </row>
    <row r="12" spans="1:14" x14ac:dyDescent="0.25">
      <c r="A12" s="7" t="str">
        <f ca="1"/>
        <v>Date</v>
      </c>
      <c r="B12" s="3">
        <v>45472</v>
      </c>
      <c r="D12" s="60" t="s">
        <v>401</v>
      </c>
      <c r="E12" s="60"/>
      <c r="F12" s="61" t="str">
        <f ca="1">DATEDIF(B24,TODAY(),"Y") &amp;" Year   " &amp;DATEDIF(B24,TODAY(),"ym")&amp; "Month     "&amp;DATEDIF(B24,TODAY(),"md")&amp; "DAYS"</f>
        <v>3 Year   11Month     23DAYS</v>
      </c>
      <c r="G12" s="61"/>
    </row>
    <row r="13" spans="1:14" x14ac:dyDescent="0.25">
      <c r="A13" s="7" t="str">
        <f ca="1"/>
        <v>Months</v>
      </c>
      <c r="B13" s="2" t="str">
        <v>June</v>
      </c>
      <c r="D13" s="60" t="s">
        <v>459</v>
      </c>
      <c r="E13" s="60"/>
      <c r="F13" s="63">
        <f ca="1">NOW()</f>
        <v>46305.369844444445</v>
      </c>
      <c r="G13" s="63"/>
    </row>
    <row r="14" spans="1:14" x14ac:dyDescent="0.25">
      <c r="A14" s="7" t="str">
        <f ca="1"/>
        <v>Customer_ID</v>
      </c>
      <c r="B14" s="2" t="str">
        <v>CUST030</v>
      </c>
    </row>
    <row r="15" spans="1:14" x14ac:dyDescent="0.25">
      <c r="A15" s="7" t="str">
        <f ca="1"/>
        <v>Customer_Name</v>
      </c>
      <c r="B15" s="2" t="str">
        <v>Helen Roberts</v>
      </c>
    </row>
    <row r="16" spans="1:14" x14ac:dyDescent="0.25">
      <c r="A16" s="7" t="str">
        <f ca="1"/>
        <v>Product_ID</v>
      </c>
      <c r="B16" s="2" t="str">
        <v>P008</v>
      </c>
    </row>
    <row r="17" spans="1:15" x14ac:dyDescent="0.25">
      <c r="A17" s="7" t="str">
        <f ca="1"/>
        <v>Product_Name</v>
      </c>
      <c r="B17" s="2" t="str">
        <v>Bookshelf</v>
      </c>
    </row>
    <row r="18" spans="1:15" x14ac:dyDescent="0.25">
      <c r="A18" s="7" t="str">
        <f ca="1"/>
        <v>Category</v>
      </c>
      <c r="B18" s="2" t="str">
        <v>Furniture</v>
      </c>
    </row>
    <row r="19" spans="1:15" x14ac:dyDescent="0.25">
      <c r="A19" s="7" t="str">
        <f ca="1"/>
        <v>Quantity</v>
      </c>
      <c r="B19" s="2">
        <v>1</v>
      </c>
    </row>
    <row r="20" spans="1:15" x14ac:dyDescent="0.25">
      <c r="A20" s="7" t="str">
        <f ca="1"/>
        <v>Unit_Price</v>
      </c>
      <c r="B20" s="2">
        <v>149.99</v>
      </c>
    </row>
    <row r="21" spans="1:15" x14ac:dyDescent="0.25">
      <c r="A21" s="7" t="str">
        <f ca="1"/>
        <v>Payment_Method</v>
      </c>
      <c r="B21" s="2" t="str">
        <v>PayPal</v>
      </c>
    </row>
    <row r="22" spans="1:15" x14ac:dyDescent="0.25">
      <c r="A22" s="7" t="str">
        <f ca="1"/>
        <v>Region</v>
      </c>
      <c r="B22" s="2" t="str">
        <v>East</v>
      </c>
    </row>
    <row r="23" spans="1:15" x14ac:dyDescent="0.25">
      <c r="A23" s="7" t="str">
        <f ca="1"/>
        <v>Customer_Segment</v>
      </c>
      <c r="B23" s="3" t="str">
        <v>Basic</v>
      </c>
    </row>
    <row r="24" spans="1:15" x14ac:dyDescent="0.25">
      <c r="A24" s="7" t="str">
        <f ca="1"/>
        <v>Customer_Since</v>
      </c>
      <c r="B24" s="3">
        <v>44851</v>
      </c>
    </row>
    <row r="25" spans="1:15" x14ac:dyDescent="0.25">
      <c r="A25" s="7" t="str">
        <f ca="1"/>
        <v>Total_Amount</v>
      </c>
      <c r="B25" s="2">
        <v>149.99</v>
      </c>
    </row>
    <row r="28" spans="1:15" x14ac:dyDescent="0.25">
      <c r="A28" s="22" t="s">
        <v>449</v>
      </c>
    </row>
    <row r="29" spans="1:15" x14ac:dyDescent="0.25">
      <c r="A29" s="59" t="s">
        <v>402</v>
      </c>
      <c r="B29" s="59" t="s">
        <v>21</v>
      </c>
    </row>
    <row r="30" spans="1:15" x14ac:dyDescent="0.25">
      <c r="A30" s="59"/>
      <c r="B30" s="59"/>
    </row>
    <row r="32" spans="1:15" x14ac:dyDescent="0.25">
      <c r="A32" s="8" t="str" cm="1">
        <f t="array" aca="1" ref="A32:O32" ca="1">INDIRECT("'"&amp;$A1&amp;"'!A1:O1")</f>
        <v>Transaction_ID</v>
      </c>
      <c r="B32" s="8" t="str">
        <f ca="1"/>
        <v>Date</v>
      </c>
      <c r="C32" s="8" t="str">
        <f ca="1"/>
        <v>Months</v>
      </c>
      <c r="D32" s="8" t="str">
        <f ca="1"/>
        <v>Customer_ID</v>
      </c>
      <c r="E32" s="8" t="str">
        <f ca="1"/>
        <v>Customer_Name</v>
      </c>
      <c r="F32" s="8" t="str">
        <f ca="1"/>
        <v>Product_ID</v>
      </c>
      <c r="G32" s="8" t="str">
        <f ca="1"/>
        <v>Product_Name</v>
      </c>
      <c r="H32" s="8" t="str">
        <f ca="1"/>
        <v>Category</v>
      </c>
      <c r="I32" s="8" t="str">
        <f ca="1"/>
        <v>Quantity</v>
      </c>
      <c r="J32" s="8" t="str">
        <f ca="1"/>
        <v>Unit_Price</v>
      </c>
      <c r="K32" s="8" t="str">
        <f ca="1"/>
        <v>Payment_Method</v>
      </c>
      <c r="L32" s="8" t="str">
        <f ca="1"/>
        <v>Region</v>
      </c>
      <c r="M32" s="8" t="str">
        <f ca="1"/>
        <v>Customer_Segment</v>
      </c>
      <c r="N32" s="8" t="str">
        <f ca="1"/>
        <v>Customer_Since</v>
      </c>
      <c r="O32" s="8" t="str">
        <f ca="1"/>
        <v>Total_Amount</v>
      </c>
    </row>
    <row r="33" spans="1:15" x14ac:dyDescent="0.25">
      <c r="A33" s="2" t="str" cm="1">
        <f t="array" ref="A33:O37">_xlfn.TAKE(_xlfn._xlws.SORT(_xlfn._xlws.FILTER('Raw Data'!$A$2:$O$251,'Raw Data'!L2:L251=Analysis!B29,"-"),15,-1),5)</f>
        <v>TRX0030</v>
      </c>
      <c r="B33" s="3">
        <v>45686</v>
      </c>
      <c r="C33" s="2" t="str">
        <v>January</v>
      </c>
      <c r="D33" s="2" t="str">
        <v>CUST011</v>
      </c>
      <c r="E33" s="2" t="str">
        <v>William White</v>
      </c>
      <c r="F33" s="2" t="str">
        <v>P001</v>
      </c>
      <c r="G33" s="2" t="str">
        <v>Laptop</v>
      </c>
      <c r="H33" s="2" t="str">
        <v>Electronics</v>
      </c>
      <c r="I33" s="2">
        <v>4</v>
      </c>
      <c r="J33" s="2">
        <v>899.99</v>
      </c>
      <c r="K33" s="2" t="str">
        <v>PayPal</v>
      </c>
      <c r="L33" s="2" t="str">
        <v>Central</v>
      </c>
      <c r="M33" s="3" t="str">
        <v>Basic</v>
      </c>
      <c r="N33" s="3">
        <v>44734</v>
      </c>
      <c r="O33" s="2">
        <v>3599.96</v>
      </c>
    </row>
    <row r="34" spans="1:15" x14ac:dyDescent="0.25">
      <c r="A34" s="2" t="str">
        <v>TRX0034</v>
      </c>
      <c r="B34" s="3">
        <v>45581</v>
      </c>
      <c r="C34" s="2" t="str">
        <v>October</v>
      </c>
      <c r="D34" s="2" t="str">
        <v>CUST049</v>
      </c>
      <c r="E34" s="2" t="str">
        <v>Raymond Ross</v>
      </c>
      <c r="F34" s="2" t="str">
        <v>P002</v>
      </c>
      <c r="G34" s="2" t="str">
        <v>Smartphone</v>
      </c>
      <c r="H34" s="2" t="str">
        <v>Electronics</v>
      </c>
      <c r="I34" s="2">
        <v>4</v>
      </c>
      <c r="J34" s="2">
        <v>699.99</v>
      </c>
      <c r="K34" s="2" t="str">
        <v>Credit Card</v>
      </c>
      <c r="L34" s="2" t="str">
        <v>Central</v>
      </c>
      <c r="M34" s="3" t="str">
        <v>Basic</v>
      </c>
      <c r="N34" s="3">
        <v>45385</v>
      </c>
      <c r="O34" s="2">
        <v>2799.96</v>
      </c>
    </row>
    <row r="35" spans="1:15" x14ac:dyDescent="0.25">
      <c r="A35" s="2" t="str">
        <v>TRX0144</v>
      </c>
      <c r="B35" s="3">
        <v>45749</v>
      </c>
      <c r="C35" s="2" t="str">
        <v>April</v>
      </c>
      <c r="D35" s="2" t="str">
        <v>CUST029</v>
      </c>
      <c r="E35" s="2" t="str">
        <v>Edward Mitchell</v>
      </c>
      <c r="F35" s="2" t="str">
        <v>P001</v>
      </c>
      <c r="G35" s="2" t="str">
        <v>Laptop</v>
      </c>
      <c r="H35" s="2" t="str">
        <v>Electronics</v>
      </c>
      <c r="I35" s="2">
        <v>3</v>
      </c>
      <c r="J35" s="2">
        <v>899.99</v>
      </c>
      <c r="K35" s="2" t="str">
        <v>Cash</v>
      </c>
      <c r="L35" s="2" t="str">
        <v>Central</v>
      </c>
      <c r="M35" s="3" t="str">
        <v>Standard</v>
      </c>
      <c r="N35" s="3">
        <v>44953</v>
      </c>
      <c r="O35" s="2">
        <v>2699.97</v>
      </c>
    </row>
    <row r="36" spans="1:15" x14ac:dyDescent="0.25">
      <c r="A36" s="2" t="str">
        <v>TRX0125</v>
      </c>
      <c r="B36" s="3">
        <v>45666</v>
      </c>
      <c r="C36" s="2" t="str">
        <v>January</v>
      </c>
      <c r="D36" s="2" t="str">
        <v>CUST026</v>
      </c>
      <c r="E36" s="2" t="str">
        <v>Karen Hill</v>
      </c>
      <c r="F36" s="2" t="str">
        <v>P002</v>
      </c>
      <c r="G36" s="2" t="str">
        <v>Smartphone</v>
      </c>
      <c r="H36" s="2" t="str">
        <v>Electronics</v>
      </c>
      <c r="I36" s="2">
        <v>3</v>
      </c>
      <c r="J36" s="2">
        <v>699.99</v>
      </c>
      <c r="K36" s="2" t="str">
        <v>Credit Card</v>
      </c>
      <c r="L36" s="2" t="str">
        <v>Central</v>
      </c>
      <c r="M36" s="3" t="str">
        <v>Premium</v>
      </c>
      <c r="N36" s="3">
        <v>45105</v>
      </c>
      <c r="O36" s="2">
        <v>2099.9699999999998</v>
      </c>
    </row>
    <row r="37" spans="1:15" x14ac:dyDescent="0.25">
      <c r="A37" s="2" t="str">
        <v>TRX0059</v>
      </c>
      <c r="B37" s="3">
        <v>45673</v>
      </c>
      <c r="C37" s="2" t="str">
        <v>January</v>
      </c>
      <c r="D37" s="2" t="str">
        <v>CUST016</v>
      </c>
      <c r="E37" s="2" t="str">
        <v>Elizabeth Hall</v>
      </c>
      <c r="F37" s="2" t="str">
        <v>P007</v>
      </c>
      <c r="G37" s="2" t="str">
        <v>Desk</v>
      </c>
      <c r="H37" s="2" t="str">
        <v>Furniture</v>
      </c>
      <c r="I37" s="2">
        <v>5</v>
      </c>
      <c r="J37" s="2">
        <v>299.99</v>
      </c>
      <c r="K37" s="2" t="str">
        <v>Debit Card</v>
      </c>
      <c r="L37" s="2" t="str">
        <v>Central</v>
      </c>
      <c r="M37" s="3" t="str">
        <v>Basic</v>
      </c>
      <c r="N37" s="3">
        <v>44431</v>
      </c>
      <c r="O37" s="2">
        <v>1499.95</v>
      </c>
    </row>
    <row r="38" spans="1:15" x14ac:dyDescent="0.25">
      <c r="B38" s="9"/>
      <c r="M38" s="9"/>
    </row>
    <row r="39" spans="1:15" x14ac:dyDescent="0.25">
      <c r="B39" s="9"/>
      <c r="M39" s="9"/>
    </row>
    <row r="40" spans="1:15" x14ac:dyDescent="0.25">
      <c r="B40" s="9"/>
      <c r="M40" s="9"/>
    </row>
    <row r="41" spans="1:15" x14ac:dyDescent="0.25">
      <c r="A41" s="24" t="s">
        <v>450</v>
      </c>
      <c r="L41" s="9"/>
    </row>
    <row r="42" spans="1:15" x14ac:dyDescent="0.25">
      <c r="A42" s="8" t="s">
        <v>403</v>
      </c>
      <c r="B42" s="8" t="s">
        <v>404</v>
      </c>
      <c r="C42" s="8" t="s">
        <v>408</v>
      </c>
      <c r="M42" s="9"/>
    </row>
    <row r="43" spans="1:15" ht="15" customHeight="1" x14ac:dyDescent="0.25">
      <c r="A43" s="11" t="str" cm="1">
        <f t="array" ref="A43:A52">_xlfn.UNIQUE('Raw Data'!$G$2:$G$251)</f>
        <v>Coffee Maker</v>
      </c>
      <c r="B43" s="12">
        <f>SUMIF('Raw Data'!$G$2:$G$251,Analysis!$A43,'Raw Data'!$O$2:$O$251)</f>
        <v>3119.6099999999992</v>
      </c>
      <c r="C43" s="2">
        <f>SUMIF('Raw Data'!$G$2:$G$251,Analysis!$A43,'Raw Data'!$I$2:$I$251)</f>
        <v>39</v>
      </c>
      <c r="E43" s="68" t="s">
        <v>406</v>
      </c>
      <c r="F43" s="68" t="s">
        <v>115</v>
      </c>
      <c r="M43" s="9"/>
    </row>
    <row r="44" spans="1:15" ht="15" customHeight="1" x14ac:dyDescent="0.25">
      <c r="A44" s="11" t="str">
        <v>Desk</v>
      </c>
      <c r="B44" s="12">
        <f>SUMIF('Raw Data'!$G$2:$G$251,Analysis!$A44,'Raw Data'!$O$2:$O$251)</f>
        <v>23399.22</v>
      </c>
      <c r="C44" s="2">
        <f>SUMIF('Raw Data'!$G$2:$G$251,Analysis!$A44,'Raw Data'!$I$2:$I$251)</f>
        <v>78</v>
      </c>
      <c r="E44" s="69"/>
      <c r="F44" s="69"/>
      <c r="H44" s="13" t="s">
        <v>464</v>
      </c>
      <c r="I44" s="10">
        <f>SUM('Raw Data'!$O$2:$O$251)</f>
        <v>229192.47000000041</v>
      </c>
      <c r="M44" s="9"/>
    </row>
    <row r="45" spans="1:15" x14ac:dyDescent="0.25">
      <c r="A45" s="11" t="str">
        <v>Bookshelf</v>
      </c>
      <c r="B45" s="12">
        <f>SUMIF('Raw Data'!$G$2:$G$251,Analysis!$A45,'Raw Data'!$O$2:$O$251)</f>
        <v>15298.979999999998</v>
      </c>
      <c r="C45" s="2">
        <f>SUMIF('Raw Data'!$G$2:$G$251,Analysis!$A45,'Raw Data'!$I$2:$I$251)</f>
        <v>102</v>
      </c>
      <c r="E45" s="13" t="s">
        <v>407</v>
      </c>
      <c r="F45" s="10" cm="1">
        <f t="array" ref="F45">_xlfn.XLOOKUP(F43,_xlfn.ANCHORARRAY($A$43),$B$43:$B$52)</f>
        <v>3119.6099999999992</v>
      </c>
      <c r="H45" s="13" t="s">
        <v>465</v>
      </c>
      <c r="I45" s="37">
        <v>0.2</v>
      </c>
      <c r="M45" s="9"/>
    </row>
    <row r="46" spans="1:15" x14ac:dyDescent="0.25">
      <c r="A46" s="11" t="str">
        <v>Keyboard</v>
      </c>
      <c r="B46" s="12">
        <f>SUMIF('Raw Data'!$G$2:$G$251,Analysis!$A46,'Raw Data'!$O$2:$O$251)</f>
        <v>8009.1099999999951</v>
      </c>
      <c r="C46" s="2">
        <f>SUMIF('Raw Data'!$G$2:$G$251,Analysis!$A46,'Raw Data'!$I$2:$I$251)</f>
        <v>89</v>
      </c>
      <c r="E46" s="13" t="s">
        <v>7</v>
      </c>
      <c r="F46" s="10" cm="1">
        <f t="array" ref="F46">_xlfn.XLOOKUP(F43,_xlfn.ANCHORARRAY(A43),C43:C52)</f>
        <v>39</v>
      </c>
      <c r="H46" s="13" t="s">
        <v>409</v>
      </c>
      <c r="I46" s="15">
        <f>I44*(1+I45)</f>
        <v>275030.9640000005</v>
      </c>
      <c r="M46" s="9"/>
    </row>
    <row r="47" spans="1:15" x14ac:dyDescent="0.25">
      <c r="A47" s="11" t="str">
        <v>Headphones</v>
      </c>
      <c r="B47" s="12">
        <f>SUMIF('Raw Data'!$G$2:$G$251,Analysis!$A47,'Raw Data'!$O$2:$O$251)</f>
        <v>7049.53</v>
      </c>
      <c r="C47" s="2">
        <f>SUMIF('Raw Data'!$G$2:$G$251,Analysis!$A47,'Raw Data'!$I$2:$I$251)</f>
        <v>47</v>
      </c>
      <c r="E47" s="13" t="s">
        <v>409</v>
      </c>
      <c r="F47" s="13">
        <f>F45*F46</f>
        <v>121664.78999999996</v>
      </c>
      <c r="M47" s="9"/>
    </row>
    <row r="48" spans="1:15" x14ac:dyDescent="0.25">
      <c r="A48" s="11" t="str">
        <v>Blender</v>
      </c>
      <c r="B48" s="12">
        <f>SUMIF('Raw Data'!$G$2:$G$251,Analysis!$A48,'Raw Data'!$O$2:$O$251)</f>
        <v>5219.1299999999992</v>
      </c>
      <c r="C48" s="2">
        <f>SUMIF('Raw Data'!$G$2:$G$251,Analysis!$A48,'Raw Data'!$I$2:$I$251)</f>
        <v>87</v>
      </c>
      <c r="M48" s="9"/>
    </row>
    <row r="49" spans="1:13" x14ac:dyDescent="0.25">
      <c r="A49" s="11" t="str">
        <v>Smartphone</v>
      </c>
      <c r="B49" s="12">
        <f>SUMIF('Raw Data'!$G$2:$G$251,Analysis!$A49,'Raw Data'!$O$2:$O$251)</f>
        <v>67199.039999999994</v>
      </c>
      <c r="C49" s="2">
        <f>SUMIF('Raw Data'!$G$2:$G$251,Analysis!$A49,'Raw Data'!$I$2:$I$251)</f>
        <v>96</v>
      </c>
      <c r="E49" s="64" t="s">
        <v>410</v>
      </c>
      <c r="F49" s="65"/>
      <c r="H49" s="64" t="s">
        <v>412</v>
      </c>
      <c r="I49" s="65"/>
      <c r="K49" s="9"/>
    </row>
    <row r="50" spans="1:13" x14ac:dyDescent="0.25">
      <c r="A50" s="11" t="str">
        <v>Monitor</v>
      </c>
      <c r="B50" s="12">
        <f>SUMIF('Raw Data'!$G$2:$G$251,Analysis!$A50,'Raw Data'!$O$2:$O$251)</f>
        <v>21999.120000000003</v>
      </c>
      <c r="C50" s="2">
        <f>SUMIF('Raw Data'!$G$2:$G$251,Analysis!$A50,'Raw Data'!$I$2:$I$251)</f>
        <v>88</v>
      </c>
      <c r="E50" s="66"/>
      <c r="F50" s="67"/>
      <c r="H50" s="66"/>
      <c r="I50" s="67"/>
      <c r="M50" s="9"/>
    </row>
    <row r="51" spans="1:13" ht="15" customHeight="1" x14ac:dyDescent="0.25">
      <c r="A51" s="11" t="str">
        <v>Laptop</v>
      </c>
      <c r="B51" s="12">
        <f>SUMIF('Raw Data'!$G$2:$G$251,Analysis!$A51,'Raw Data'!$O$2:$O$251)</f>
        <v>67499.249999999985</v>
      </c>
      <c r="C51" s="2">
        <f>SUMIF('Raw Data'!$G$2:$G$251,Analysis!$A51,'Raw Data'!$I$2:$I$251)</f>
        <v>75</v>
      </c>
      <c r="E51" s="13" t="s">
        <v>407</v>
      </c>
      <c r="F51" s="10">
        <f>F45</f>
        <v>3119.6099999999992</v>
      </c>
      <c r="H51" s="13" t="s">
        <v>407</v>
      </c>
      <c r="I51" s="27">
        <v>30769.23076923077</v>
      </c>
    </row>
    <row r="52" spans="1:13" ht="15" customHeight="1" x14ac:dyDescent="0.25">
      <c r="A52" s="11" t="str">
        <v>Office Chair</v>
      </c>
      <c r="B52" s="12">
        <f>SUMIF('Raw Data'!$G$2:$G$251,Analysis!$A52,'Raw Data'!$O$2:$O$251)</f>
        <v>10399.48</v>
      </c>
      <c r="C52" s="2">
        <f>SUMIF('Raw Data'!$G$2:$G$251,Analysis!$A52,'Raw Data'!$I$2:$I$251)</f>
        <v>52</v>
      </c>
      <c r="E52" s="13" t="s">
        <v>7</v>
      </c>
      <c r="F52" s="14">
        <v>384.66346754882829</v>
      </c>
      <c r="H52" s="13" t="s">
        <v>7</v>
      </c>
      <c r="I52" s="14">
        <f>F46</f>
        <v>39</v>
      </c>
    </row>
    <row r="53" spans="1:13" x14ac:dyDescent="0.25">
      <c r="B53" s="9"/>
      <c r="E53" s="13" t="s">
        <v>411</v>
      </c>
      <c r="F53" s="15">
        <f>F51*F52</f>
        <v>1200000</v>
      </c>
      <c r="H53" s="13" t="s">
        <v>411</v>
      </c>
      <c r="I53" s="15">
        <f>I51*I52</f>
        <v>1200000</v>
      </c>
      <c r="K53" s="9"/>
    </row>
    <row r="54" spans="1:13" x14ac:dyDescent="0.25">
      <c r="B54" s="9"/>
      <c r="E54" s="16"/>
      <c r="F54" s="17"/>
      <c r="H54" s="16"/>
      <c r="I54" s="17"/>
      <c r="K54" s="9"/>
    </row>
    <row r="55" spans="1:13" x14ac:dyDescent="0.25">
      <c r="B55" s="9"/>
      <c r="E55" s="16"/>
      <c r="F55" s="17"/>
      <c r="H55" s="16"/>
      <c r="I55" s="17"/>
      <c r="K55" s="9"/>
    </row>
    <row r="56" spans="1:13" x14ac:dyDescent="0.25">
      <c r="A56" s="24" t="s">
        <v>451</v>
      </c>
      <c r="B56" s="9"/>
      <c r="E56" s="16"/>
      <c r="F56" s="17"/>
      <c r="H56" s="16"/>
      <c r="I56" s="17"/>
      <c r="K56" s="9"/>
    </row>
    <row r="57" spans="1:13" x14ac:dyDescent="0.25">
      <c r="A57" s="8" t="s">
        <v>432</v>
      </c>
      <c r="B57" s="8" t="s">
        <v>404</v>
      </c>
      <c r="C57" s="8" t="s">
        <v>446</v>
      </c>
      <c r="E57" s="16"/>
      <c r="F57" s="17"/>
      <c r="H57" s="16"/>
      <c r="I57" s="17"/>
      <c r="K57" s="9"/>
    </row>
    <row r="58" spans="1:13" x14ac:dyDescent="0.25">
      <c r="A58" s="2" t="s">
        <v>441</v>
      </c>
      <c r="B58" s="18">
        <f>SUMIF('Raw Data'!$C$2:$C$251,Analysis!$A58,'Raw Data'!$O$2:$O$251)</f>
        <v>25799.15</v>
      </c>
      <c r="C58" s="10" t="s">
        <v>447</v>
      </c>
      <c r="E58" s="16"/>
      <c r="F58" s="17"/>
      <c r="H58" s="16"/>
      <c r="I58" s="17"/>
      <c r="K58" s="9"/>
    </row>
    <row r="59" spans="1:13" x14ac:dyDescent="0.25">
      <c r="A59" s="2" t="s">
        <v>442</v>
      </c>
      <c r="B59" s="18">
        <f>SUMIF('Raw Data'!$C$2:$C$251,Analysis!$A59,'Raw Data'!$O$2:$O$251)</f>
        <v>16069.379999999996</v>
      </c>
      <c r="C59" s="10">
        <f>($B59-$B58)/$B58</f>
        <v>-0.37713529321702483</v>
      </c>
      <c r="E59" s="16"/>
      <c r="F59" s="17"/>
      <c r="H59" s="16"/>
      <c r="I59" s="17"/>
      <c r="K59" s="9"/>
    </row>
    <row r="60" spans="1:13" x14ac:dyDescent="0.25">
      <c r="A60" s="2" t="s">
        <v>435</v>
      </c>
      <c r="B60" s="18">
        <f>SUMIF('Raw Data'!$C$2:$C$251,Analysis!$A60,'Raw Data'!$O$2:$O$251)</f>
        <v>19899.379999999997</v>
      </c>
      <c r="C60" s="10">
        <f t="shared" ref="C60:C69" si="0">($B60-$B59)/$B59</f>
        <v>0.2383414917065875</v>
      </c>
      <c r="E60" s="16"/>
      <c r="F60" s="17"/>
      <c r="H60" s="16"/>
      <c r="I60" s="17"/>
      <c r="K60" s="9"/>
    </row>
    <row r="61" spans="1:13" x14ac:dyDescent="0.25">
      <c r="A61" s="2" t="s">
        <v>444</v>
      </c>
      <c r="B61" s="18">
        <f>SUMIF('Raw Data'!$C$2:$C$251,Analysis!$A61,'Raw Data'!$O$2:$O$251)</f>
        <v>27899.160000000007</v>
      </c>
      <c r="C61" s="10">
        <f t="shared" si="0"/>
        <v>0.40201151995690371</v>
      </c>
      <c r="E61" s="16"/>
      <c r="F61" s="17"/>
      <c r="H61" s="16"/>
      <c r="I61" s="17"/>
      <c r="K61" s="9"/>
    </row>
    <row r="62" spans="1:13" x14ac:dyDescent="0.25">
      <c r="A62" s="2" t="s">
        <v>436</v>
      </c>
      <c r="B62" s="18">
        <f>SUMIF('Raw Data'!$C$2:$C$251,Analysis!$A62,'Raw Data'!$O$2:$O$251)</f>
        <v>17039.349999999995</v>
      </c>
      <c r="C62" s="10">
        <f t="shared" si="0"/>
        <v>-0.38925222121382902</v>
      </c>
      <c r="E62" s="16"/>
      <c r="F62" s="17"/>
      <c r="H62" s="16"/>
      <c r="I62" s="17"/>
      <c r="K62" s="9"/>
    </row>
    <row r="63" spans="1:13" x14ac:dyDescent="0.25">
      <c r="A63" s="2" t="s">
        <v>438</v>
      </c>
      <c r="B63" s="18">
        <f>SUMIF('Raw Data'!$C$2:$C$251,Analysis!$A63,'Raw Data'!$O$2:$O$251)</f>
        <v>19299.449999999997</v>
      </c>
      <c r="C63" s="10">
        <f t="shared" si="0"/>
        <v>0.13264003615161393</v>
      </c>
      <c r="E63" s="16"/>
      <c r="F63" s="17"/>
      <c r="H63" s="16"/>
      <c r="I63" s="17"/>
      <c r="K63" s="9"/>
    </row>
    <row r="64" spans="1:13" x14ac:dyDescent="0.25">
      <c r="A64" s="2" t="s">
        <v>434</v>
      </c>
      <c r="B64" s="18">
        <f>SUMIF('Raw Data'!$C$2:$C$251,Analysis!$A64,'Raw Data'!$O$2:$O$251)</f>
        <v>18479.399999999998</v>
      </c>
      <c r="C64" s="10">
        <f t="shared" si="0"/>
        <v>-4.2490848184792797E-2</v>
      </c>
      <c r="E64" s="16"/>
      <c r="F64" s="17"/>
      <c r="H64" s="16"/>
      <c r="I64" s="17"/>
      <c r="K64" s="9"/>
    </row>
    <row r="65" spans="1:11" x14ac:dyDescent="0.25">
      <c r="A65" s="2" t="s">
        <v>433</v>
      </c>
      <c r="B65" s="18">
        <f>SUMIF('Raw Data'!$C$2:$C$251,Analysis!$A65,'Raw Data'!$O$2:$O$251)</f>
        <v>15759.43</v>
      </c>
      <c r="C65" s="10">
        <f t="shared" si="0"/>
        <v>-0.14718930268298744</v>
      </c>
      <c r="E65" s="16"/>
      <c r="F65" s="17"/>
      <c r="H65" s="16"/>
      <c r="I65" s="17"/>
      <c r="K65" s="9"/>
    </row>
    <row r="66" spans="1:11" x14ac:dyDescent="0.25">
      <c r="A66" s="2" t="s">
        <v>437</v>
      </c>
      <c r="B66" s="18">
        <f>SUMIF('Raw Data'!$C$2:$C$251,Analysis!$A66,'Raw Data'!$O$2:$O$251)</f>
        <v>12989.509999999998</v>
      </c>
      <c r="C66" s="10">
        <f t="shared" si="0"/>
        <v>-0.17576270207742298</v>
      </c>
      <c r="E66" s="16"/>
      <c r="F66" s="17"/>
      <c r="H66" s="16"/>
      <c r="I66" s="17"/>
      <c r="K66" s="9"/>
    </row>
    <row r="67" spans="1:11" x14ac:dyDescent="0.25">
      <c r="A67" s="2" t="s">
        <v>440</v>
      </c>
      <c r="B67" s="18">
        <f>SUMIF('Raw Data'!$C$2:$C$251,Analysis!$A67,'Raw Data'!$O$2:$O$251)</f>
        <v>20609.52</v>
      </c>
      <c r="C67" s="10">
        <f t="shared" si="0"/>
        <v>0.58662797903847053</v>
      </c>
      <c r="E67" s="16"/>
      <c r="F67" s="17"/>
      <c r="H67" s="16"/>
      <c r="I67" s="17"/>
      <c r="K67" s="9"/>
    </row>
    <row r="68" spans="1:11" x14ac:dyDescent="0.25">
      <c r="A68" s="2" t="s">
        <v>443</v>
      </c>
      <c r="B68" s="18">
        <f>SUMIF('Raw Data'!$C$2:$C$251,Analysis!$A68,'Raw Data'!$O$2:$O$251)</f>
        <v>12309.439999999999</v>
      </c>
      <c r="C68" s="10">
        <f t="shared" si="0"/>
        <v>-0.40273038867474842</v>
      </c>
      <c r="E68" s="16"/>
      <c r="F68" s="17"/>
      <c r="H68" s="16"/>
      <c r="I68" s="17"/>
      <c r="K68" s="9"/>
    </row>
    <row r="69" spans="1:11" x14ac:dyDescent="0.25">
      <c r="A69" s="2" t="s">
        <v>439</v>
      </c>
      <c r="B69" s="18">
        <f>SUMIF('Raw Data'!$C$2:$C$251,Analysis!$A69,'Raw Data'!$O$2:$O$251)</f>
        <v>23039.300000000003</v>
      </c>
      <c r="C69" s="10">
        <f t="shared" si="0"/>
        <v>0.87167734681675246</v>
      </c>
      <c r="E69" s="16"/>
      <c r="F69" t="s">
        <v>480</v>
      </c>
    </row>
    <row r="70" spans="1:11" ht="15.75" thickBot="1" x14ac:dyDescent="0.3">
      <c r="B70" s="9"/>
      <c r="E70" s="16"/>
    </row>
    <row r="71" spans="1:11" x14ac:dyDescent="0.25">
      <c r="B71" s="9"/>
      <c r="E71" s="16"/>
      <c r="F71" s="44" t="s">
        <v>481</v>
      </c>
      <c r="G71" s="44"/>
    </row>
    <row r="72" spans="1:11" x14ac:dyDescent="0.25">
      <c r="A72" s="24" t="s">
        <v>458</v>
      </c>
      <c r="B72" s="9"/>
      <c r="E72" s="16"/>
      <c r="F72" s="28" t="s">
        <v>482</v>
      </c>
      <c r="G72" s="28">
        <v>0.3626528880899062</v>
      </c>
    </row>
    <row r="73" spans="1:11" x14ac:dyDescent="0.25">
      <c r="A73" s="8" t="s">
        <v>403</v>
      </c>
      <c r="B73" s="8" t="s">
        <v>408</v>
      </c>
      <c r="C73" s="8" t="s">
        <v>404</v>
      </c>
      <c r="D73" s="16"/>
      <c r="E73" s="17"/>
      <c r="F73" s="28" t="s">
        <v>483</v>
      </c>
      <c r="G73" s="28">
        <v>0.13151711723995005</v>
      </c>
    </row>
    <row r="74" spans="1:11" x14ac:dyDescent="0.25">
      <c r="A74" s="11" t="str" cm="1">
        <f t="array" ref="A74:A83">_xlfn.UNIQUE('Raw Data'!$G$2:$G$251)</f>
        <v>Coffee Maker</v>
      </c>
      <c r="B74" s="2">
        <f>SUMIF('Raw Data'!$G$2:$G$251,Analysis!$A74,'Raw Data'!$I$2:$I$251)</f>
        <v>39</v>
      </c>
      <c r="C74" s="12">
        <f>SUMIF('Raw Data'!$G$2:$G$251,Analysis!$A74,'Raw Data'!$O$2:$O$251)</f>
        <v>3119.6099999999992</v>
      </c>
      <c r="D74" s="16"/>
      <c r="E74" s="17"/>
      <c r="F74" s="28" t="s">
        <v>484</v>
      </c>
      <c r="G74" s="28">
        <v>2.2956756894943808E-2</v>
      </c>
    </row>
    <row r="75" spans="1:11" x14ac:dyDescent="0.25">
      <c r="A75" s="11" t="str">
        <v>Desk</v>
      </c>
      <c r="B75" s="2">
        <f>SUMIF('Raw Data'!$G$2:$G$251,Analysis!$A75,'Raw Data'!$I$2:$I$251)</f>
        <v>78</v>
      </c>
      <c r="C75" s="12">
        <f>SUMIF('Raw Data'!$G$2:$G$251,Analysis!$A75,'Raw Data'!$O$2:$O$251)</f>
        <v>23399.22</v>
      </c>
      <c r="D75" s="16"/>
      <c r="E75" s="17"/>
      <c r="F75" s="28" t="s">
        <v>485</v>
      </c>
      <c r="G75" s="28">
        <v>21.595975645434066</v>
      </c>
    </row>
    <row r="76" spans="1:11" ht="15.75" thickBot="1" x14ac:dyDescent="0.3">
      <c r="A76" s="11" t="str">
        <v>Bookshelf</v>
      </c>
      <c r="B76" s="2">
        <f>SUMIF('Raw Data'!$G$2:$G$251,Analysis!$A76,'Raw Data'!$I$2:$I$251)</f>
        <v>102</v>
      </c>
      <c r="C76" s="12">
        <f>SUMIF('Raw Data'!$G$2:$G$251,Analysis!$A76,'Raw Data'!$O$2:$O$251)</f>
        <v>15298.979999999998</v>
      </c>
      <c r="D76" s="16"/>
      <c r="E76" s="17"/>
      <c r="F76" s="42" t="s">
        <v>486</v>
      </c>
      <c r="G76" s="42">
        <v>10</v>
      </c>
    </row>
    <row r="77" spans="1:11" x14ac:dyDescent="0.25">
      <c r="A77" s="11" t="str">
        <v>Keyboard</v>
      </c>
      <c r="B77" s="2">
        <f>SUMIF('Raw Data'!$G$2:$G$251,Analysis!$A77,'Raw Data'!$I$2:$I$251)</f>
        <v>89</v>
      </c>
      <c r="C77" s="12">
        <f>SUMIF('Raw Data'!$G$2:$G$251,Analysis!$A77,'Raw Data'!$O$2:$O$251)</f>
        <v>8009.1099999999951</v>
      </c>
      <c r="D77" s="16"/>
      <c r="E77" s="17"/>
    </row>
    <row r="78" spans="1:11" ht="15.75" thickBot="1" x14ac:dyDescent="0.3">
      <c r="A78" s="11" t="str">
        <v>Headphones</v>
      </c>
      <c r="B78" s="2">
        <f>SUMIF('Raw Data'!$G$2:$G$251,Analysis!$A78,'Raw Data'!$I$2:$I$251)</f>
        <v>47</v>
      </c>
      <c r="C78" s="12">
        <f>SUMIF('Raw Data'!$G$2:$G$251,Analysis!$A78,'Raw Data'!$O$2:$O$251)</f>
        <v>7049.53</v>
      </c>
      <c r="D78" s="16"/>
      <c r="E78" s="17"/>
      <c r="F78" t="s">
        <v>487</v>
      </c>
    </row>
    <row r="79" spans="1:11" x14ac:dyDescent="0.25">
      <c r="A79" s="11" t="str">
        <v>Blender</v>
      </c>
      <c r="B79" s="2">
        <f>SUMIF('Raw Data'!$G$2:$G$251,Analysis!$A79,'Raw Data'!$I$2:$I$251)</f>
        <v>87</v>
      </c>
      <c r="C79" s="12">
        <f>SUMIF('Raw Data'!$G$2:$G$251,Analysis!$A79,'Raw Data'!$O$2:$O$251)</f>
        <v>5219.1299999999992</v>
      </c>
      <c r="D79" s="16"/>
      <c r="E79" s="17"/>
      <c r="F79" s="43"/>
      <c r="G79" s="43" t="s">
        <v>492</v>
      </c>
      <c r="H79" s="43" t="s">
        <v>493</v>
      </c>
      <c r="I79" s="43" t="s">
        <v>494</v>
      </c>
      <c r="J79" s="43" t="s">
        <v>495</v>
      </c>
      <c r="K79" s="43" t="s">
        <v>496</v>
      </c>
    </row>
    <row r="80" spans="1:11" x14ac:dyDescent="0.25">
      <c r="A80" s="11" t="str">
        <v>Smartphone</v>
      </c>
      <c r="B80" s="2">
        <f>SUMIF('Raw Data'!$G$2:$G$251,Analysis!$A80,'Raw Data'!$I$2:$I$251)</f>
        <v>96</v>
      </c>
      <c r="C80" s="12">
        <f>SUMIF('Raw Data'!$G$2:$G$251,Analysis!$A80,'Raw Data'!$O$2:$O$251)</f>
        <v>67199.039999999994</v>
      </c>
      <c r="D80" s="16"/>
      <c r="E80" s="17"/>
      <c r="F80" s="28" t="s">
        <v>488</v>
      </c>
      <c r="G80" s="28">
        <v>1</v>
      </c>
      <c r="H80" s="28">
        <v>565.01068737454943</v>
      </c>
      <c r="I80" s="28">
        <v>565.01068737454943</v>
      </c>
      <c r="J80" s="28">
        <v>1.2114653711721932</v>
      </c>
      <c r="K80" s="28">
        <v>0.30305461811512263</v>
      </c>
    </row>
    <row r="81" spans="1:14" x14ac:dyDescent="0.25">
      <c r="A81" s="11" t="str">
        <v>Monitor</v>
      </c>
      <c r="B81" s="2">
        <f>SUMIF('Raw Data'!$G$2:$G$251,Analysis!$A81,'Raw Data'!$I$2:$I$251)</f>
        <v>88</v>
      </c>
      <c r="C81" s="12">
        <f>SUMIF('Raw Data'!$G$2:$G$251,Analysis!$A81,'Raw Data'!$O$2:$O$251)</f>
        <v>21999.120000000003</v>
      </c>
      <c r="D81" s="16"/>
      <c r="E81" s="17"/>
      <c r="F81" s="28" t="s">
        <v>489</v>
      </c>
      <c r="G81" s="28">
        <v>8</v>
      </c>
      <c r="H81" s="28">
        <v>3731.0893126254509</v>
      </c>
      <c r="I81" s="28">
        <v>466.38616407818137</v>
      </c>
      <c r="J81" s="28"/>
      <c r="K81" s="28"/>
    </row>
    <row r="82" spans="1:14" ht="15.75" thickBot="1" x14ac:dyDescent="0.3">
      <c r="A82" s="11" t="str">
        <v>Laptop</v>
      </c>
      <c r="B82" s="2">
        <f>SUMIF('Raw Data'!$G$2:$G$251,Analysis!$A82,'Raw Data'!$I$2:$I$251)</f>
        <v>75</v>
      </c>
      <c r="C82" s="12">
        <f>SUMIF('Raw Data'!$G$2:$G$251,Analysis!$A82,'Raw Data'!$O$2:$O$251)</f>
        <v>67499.249999999985</v>
      </c>
      <c r="D82" s="16"/>
      <c r="E82" s="17"/>
      <c r="F82" s="42" t="s">
        <v>490</v>
      </c>
      <c r="G82" s="42">
        <v>9</v>
      </c>
      <c r="H82" s="42">
        <v>4296.1000000000004</v>
      </c>
      <c r="I82" s="42"/>
      <c r="J82" s="42"/>
      <c r="K82" s="42"/>
    </row>
    <row r="83" spans="1:14" ht="15.75" thickBot="1" x14ac:dyDescent="0.3">
      <c r="A83" s="11" t="str">
        <v>Office Chair</v>
      </c>
      <c r="B83" s="2">
        <f>SUMIF('Raw Data'!$G$2:$G$251,Analysis!$A83,'Raw Data'!$I$2:$I$251)</f>
        <v>52</v>
      </c>
      <c r="C83" s="12">
        <f>SUMIF('Raw Data'!$G$2:$G$251,Analysis!$A83,'Raw Data'!$O$2:$O$251)</f>
        <v>10399.48</v>
      </c>
      <c r="D83" s="16"/>
      <c r="E83" s="17"/>
    </row>
    <row r="84" spans="1:14" x14ac:dyDescent="0.25">
      <c r="B84" s="9"/>
      <c r="E84" s="16"/>
      <c r="F84" s="43"/>
      <c r="G84" s="43" t="s">
        <v>497</v>
      </c>
      <c r="H84" s="43" t="s">
        <v>485</v>
      </c>
      <c r="I84" s="43" t="s">
        <v>498</v>
      </c>
      <c r="J84" s="43" t="s">
        <v>499</v>
      </c>
      <c r="K84" s="43" t="s">
        <v>500</v>
      </c>
      <c r="L84" s="43" t="s">
        <v>501</v>
      </c>
      <c r="M84" s="43" t="s">
        <v>502</v>
      </c>
      <c r="N84" s="43" t="s">
        <v>503</v>
      </c>
    </row>
    <row r="85" spans="1:14" x14ac:dyDescent="0.25">
      <c r="B85" s="9"/>
      <c r="E85" s="16"/>
      <c r="F85" s="28" t="s">
        <v>491</v>
      </c>
      <c r="G85" s="28">
        <v>67.847226242984306</v>
      </c>
      <c r="H85" s="28">
        <v>9.6170207881878831</v>
      </c>
      <c r="I85" s="28">
        <v>7.0549110516967728</v>
      </c>
      <c r="J85" s="28">
        <v>1.0664832576525346E-4</v>
      </c>
      <c r="K85" s="28">
        <v>45.670336537078612</v>
      </c>
      <c r="L85" s="28">
        <v>90.02411594889</v>
      </c>
      <c r="M85" s="28">
        <v>45.670336537078612</v>
      </c>
      <c r="N85" s="28">
        <v>90.02411594889</v>
      </c>
    </row>
    <row r="86" spans="1:14" ht="15.75" thickBot="1" x14ac:dyDescent="0.3">
      <c r="B86" s="9"/>
      <c r="E86" s="16"/>
      <c r="F86" s="42" t="s">
        <v>504</v>
      </c>
      <c r="G86" s="42">
        <v>3.2517533220073456E-4</v>
      </c>
      <c r="H86" s="42">
        <v>2.9543509907334825E-4</v>
      </c>
      <c r="I86" s="42">
        <v>1.1006658762640882</v>
      </c>
      <c r="J86" s="42">
        <v>0.30305461811512296</v>
      </c>
      <c r="K86" s="42">
        <v>-3.5609922794685927E-4</v>
      </c>
      <c r="L86" s="42">
        <v>1.0064498923483284E-3</v>
      </c>
      <c r="M86" s="42">
        <v>-3.5609922794685927E-4</v>
      </c>
      <c r="N86" s="42">
        <v>1.0064498923483284E-3</v>
      </c>
    </row>
    <row r="87" spans="1:14" x14ac:dyDescent="0.25">
      <c r="A87" s="22" t="s">
        <v>460</v>
      </c>
      <c r="B87" s="9"/>
    </row>
    <row r="88" spans="1:14" x14ac:dyDescent="0.25">
      <c r="A88" s="8" t="s">
        <v>403</v>
      </c>
      <c r="B88" s="8" t="s">
        <v>414</v>
      </c>
      <c r="C88" s="8" t="s">
        <v>413</v>
      </c>
      <c r="D88" s="8" t="s">
        <v>415</v>
      </c>
    </row>
    <row r="89" spans="1:14" x14ac:dyDescent="0.25">
      <c r="A89" s="11" t="str" cm="1">
        <f t="array" ref="A89:A98">_xlfn.UNIQUE('Raw Data'!$G$2:$G$251)</f>
        <v>Coffee Maker</v>
      </c>
      <c r="B89" s="2" cm="1">
        <f t="array" ref="B89:B98">COUNTIF('Raw Data'!$G$2:$G$251,_xlfn.ANCHORARRAY(A89))</f>
        <v>14</v>
      </c>
      <c r="C89" s="19" t="str" cm="1">
        <f t="array" ref="C89:C90">_xlfn.UNIQUE(_xlfn._xlws.FILTER('Raw Data'!G2:G251,COUNTIF('Raw Data'!G2:G251,'Raw Data'!G2:G251)=MODE(COUNTIF('Raw Data'!G2:G251,'Raw Data'!G2:G251))))</f>
        <v>Desk</v>
      </c>
      <c r="D89" s="10" cm="1">
        <f t="array" ref="D89">MODE(COUNTIF('Raw Data'!G2:G251,'Raw Data'!G2:G251))</f>
        <v>26</v>
      </c>
    </row>
    <row r="90" spans="1:14" x14ac:dyDescent="0.25">
      <c r="A90" s="11" t="str">
        <v>Desk</v>
      </c>
      <c r="B90" s="2">
        <v>26</v>
      </c>
      <c r="C90" s="19" t="str">
        <v>Monitor</v>
      </c>
      <c r="D90" s="10" cm="1">
        <f t="array" ref="D90">MODE(COUNTIF('Raw Data'!G3:G252,'Raw Data'!G3:G252))</f>
        <v>26</v>
      </c>
    </row>
    <row r="91" spans="1:14" x14ac:dyDescent="0.25">
      <c r="A91" s="11" t="str">
        <v>Bookshelf</v>
      </c>
      <c r="B91" s="2">
        <v>35</v>
      </c>
    </row>
    <row r="92" spans="1:14" x14ac:dyDescent="0.25">
      <c r="A92" s="11" t="str">
        <v>Keyboard</v>
      </c>
      <c r="B92" s="2">
        <v>34</v>
      </c>
    </row>
    <row r="93" spans="1:14" x14ac:dyDescent="0.25">
      <c r="A93" s="11" t="str">
        <v>Headphones</v>
      </c>
      <c r="B93" s="2">
        <v>16</v>
      </c>
    </row>
    <row r="94" spans="1:14" x14ac:dyDescent="0.25">
      <c r="A94" s="11" t="str">
        <v>Blender</v>
      </c>
      <c r="B94" s="2">
        <v>29</v>
      </c>
      <c r="K94" s="9"/>
    </row>
    <row r="95" spans="1:14" x14ac:dyDescent="0.25">
      <c r="A95" s="11" t="str">
        <v>Smartphone</v>
      </c>
      <c r="B95" s="2">
        <v>31</v>
      </c>
      <c r="K95" s="9"/>
    </row>
    <row r="96" spans="1:14" x14ac:dyDescent="0.25">
      <c r="A96" s="11" t="str">
        <v>Monitor</v>
      </c>
      <c r="B96" s="2">
        <v>26</v>
      </c>
      <c r="K96" s="9"/>
    </row>
    <row r="97" spans="1:13" x14ac:dyDescent="0.25">
      <c r="A97" s="11" t="str">
        <v>Laptop</v>
      </c>
      <c r="B97" s="2">
        <v>24</v>
      </c>
      <c r="K97" s="9"/>
    </row>
    <row r="98" spans="1:13" x14ac:dyDescent="0.25">
      <c r="A98" s="11" t="str">
        <v>Office Chair</v>
      </c>
      <c r="B98" s="2">
        <v>15</v>
      </c>
      <c r="K98" s="9"/>
    </row>
    <row r="99" spans="1:13" x14ac:dyDescent="0.25">
      <c r="A99" s="20"/>
      <c r="B99" s="21"/>
      <c r="K99" s="9"/>
    </row>
    <row r="100" spans="1:13" x14ac:dyDescent="0.25">
      <c r="A100" s="20"/>
      <c r="B100" s="21"/>
      <c r="K100" s="9"/>
    </row>
    <row r="101" spans="1:13" x14ac:dyDescent="0.25">
      <c r="A101" s="20"/>
      <c r="B101" s="21"/>
      <c r="K101" s="9"/>
    </row>
    <row r="102" spans="1:13" x14ac:dyDescent="0.25">
      <c r="A102" s="20"/>
      <c r="B102" s="21"/>
      <c r="K102" s="9"/>
    </row>
    <row r="103" spans="1:13" x14ac:dyDescent="0.25">
      <c r="B103" s="9"/>
      <c r="M103" s="9"/>
    </row>
    <row r="104" spans="1:13" x14ac:dyDescent="0.25">
      <c r="A104" s="22" t="s">
        <v>461</v>
      </c>
      <c r="B104" s="9"/>
      <c r="M104" s="9"/>
    </row>
    <row r="105" spans="1:13" x14ac:dyDescent="0.25">
      <c r="A105" s="22" t="s">
        <v>462</v>
      </c>
      <c r="B105" s="9"/>
      <c r="M105" s="9"/>
    </row>
    <row r="106" spans="1:13" x14ac:dyDescent="0.25">
      <c r="A106" s="8" t="s">
        <v>416</v>
      </c>
      <c r="B106" s="8" t="s">
        <v>417</v>
      </c>
      <c r="D106" s="8" t="s">
        <v>416</v>
      </c>
      <c r="E106" s="8" t="s">
        <v>417</v>
      </c>
      <c r="G106" s="8" t="s">
        <v>419</v>
      </c>
      <c r="H106" s="8" t="s">
        <v>420</v>
      </c>
      <c r="M106" s="9"/>
    </row>
    <row r="107" spans="1:13" x14ac:dyDescent="0.25">
      <c r="A107" s="2" t="str" cm="1">
        <f t="array" ref="A107:A182">_xlfn._xlws.FILTER('Raw Data'!$E$2:$E$251,'Raw Data'!$K$2:$K$251='Raw Data'!K2)</f>
        <v>Lawrence Reed</v>
      </c>
      <c r="B107" s="3" t="s">
        <v>20</v>
      </c>
      <c r="D107" s="2" t="str" cm="1">
        <f t="array" ref="D107:D158">_xlfn._xlws.FILTER('Raw Data'!$E$2:$E$251,'Raw Data'!$K$2:$K$251='Raw Data'!K14)</f>
        <v>Dorothy Nelson</v>
      </c>
      <c r="E107" s="2" t="s">
        <v>418</v>
      </c>
      <c r="G107" s="2" t="str" cm="1">
        <f t="array" ref="G107:G128">_xlfn.UNIQUE(_xlfn._xlws.FILTER(_xlfn.ANCHORARRAY($A$107),(_xlfn.ANCHORARRAY($A$107)&lt;&gt;"")*(COUNTIF($D$107:$D$182,_xlfn.ANCHORARRAY($A$107))&gt;0)))</f>
        <v>Lawrence Reed</v>
      </c>
      <c r="H107" s="2" t="str" cm="1">
        <f t="array" ref="H107">_xlfn.TEXTJOIN(" ", TRUE,LEFT(_xlfn.TEXTSPLIT(G107," "),1))</f>
        <v>L R</v>
      </c>
      <c r="M107" s="9"/>
    </row>
    <row r="108" spans="1:13" x14ac:dyDescent="0.25">
      <c r="A108" s="2" t="str">
        <v>Daniel King</v>
      </c>
      <c r="B108" s="3" t="s">
        <v>20</v>
      </c>
      <c r="D108" s="2" t="str">
        <v>Jennifer Taylor</v>
      </c>
      <c r="E108" s="2" t="s">
        <v>418</v>
      </c>
      <c r="G108" s="2" t="str">
        <v>Emma Wilson</v>
      </c>
      <c r="H108" s="2" t="str" cm="1">
        <f t="array" ref="H108">_xlfn.TEXTJOIN(" ", TRUE,LEFT(_xlfn.TEXTSPLIT(G108," "),1))</f>
        <v>E W</v>
      </c>
      <c r="M108" s="9"/>
    </row>
    <row r="109" spans="1:13" x14ac:dyDescent="0.25">
      <c r="A109" s="2" t="str">
        <v>Emma Wilson</v>
      </c>
      <c r="B109" s="3" t="s">
        <v>20</v>
      </c>
      <c r="D109" s="2" t="str">
        <v>Harry Morgan</v>
      </c>
      <c r="E109" s="2" t="s">
        <v>418</v>
      </c>
      <c r="G109" s="2" t="str">
        <v>Robert Thomas</v>
      </c>
      <c r="H109" s="2" t="str" cm="1">
        <f t="array" ref="H109">_xlfn.TEXTJOIN(" ", TRUE,LEFT(_xlfn.TEXTSPLIT(G109," "),1))</f>
        <v>R T</v>
      </c>
      <c r="M109" s="9"/>
    </row>
    <row r="110" spans="1:13" x14ac:dyDescent="0.25">
      <c r="A110" s="2" t="str">
        <v>Patricia Moore</v>
      </c>
      <c r="B110" s="3" t="s">
        <v>20</v>
      </c>
      <c r="D110" s="2" t="str">
        <v>Arthur Edwards</v>
      </c>
      <c r="E110" s="2" t="s">
        <v>418</v>
      </c>
      <c r="G110" s="2" t="str">
        <v>Sarah Davis</v>
      </c>
      <c r="H110" s="2" t="str" cm="1">
        <f t="array" ref="H110">_xlfn.TEXTJOIN(" ", TRUE,LEFT(_xlfn.TEXTSPLIT(G110," "),1))</f>
        <v>S D</v>
      </c>
      <c r="M110" s="9"/>
    </row>
    <row r="111" spans="1:13" x14ac:dyDescent="0.25">
      <c r="A111" s="2" t="str">
        <v>Ruth Brooks</v>
      </c>
      <c r="B111" s="3" t="s">
        <v>20</v>
      </c>
      <c r="D111" s="2" t="str">
        <v>William White</v>
      </c>
      <c r="E111" s="2" t="s">
        <v>418</v>
      </c>
      <c r="G111" s="2" t="str">
        <v>Lisa Anderson</v>
      </c>
      <c r="H111" s="2" t="str" cm="1">
        <f t="array" ref="H111">_xlfn.TEXTJOIN(" ", TRUE,LEFT(_xlfn.TEXTSPLIT(G111," "),1))</f>
        <v>L A</v>
      </c>
      <c r="M111" s="9"/>
    </row>
    <row r="112" spans="1:13" x14ac:dyDescent="0.25">
      <c r="A112" s="2" t="str">
        <v>David Martinez</v>
      </c>
      <c r="B112" s="3" t="s">
        <v>20</v>
      </c>
      <c r="D112" s="2" t="str">
        <v>Nancy Collins</v>
      </c>
      <c r="E112" s="2" t="s">
        <v>418</v>
      </c>
      <c r="G112" s="2" t="str">
        <v>Charles Allen</v>
      </c>
      <c r="H112" s="2" t="str" cm="1">
        <f t="array" ref="H112">_xlfn.TEXTJOIN(" ", TRUE,LEFT(_xlfn.TEXTSPLIT(G112," "),1))</f>
        <v>C A</v>
      </c>
      <c r="M112" s="9"/>
    </row>
    <row r="113" spans="1:13" x14ac:dyDescent="0.25">
      <c r="A113" s="2" t="str">
        <v>Robert Thomas</v>
      </c>
      <c r="B113" s="3" t="s">
        <v>20</v>
      </c>
      <c r="D113" s="2" t="str">
        <v>Mark Carter</v>
      </c>
      <c r="E113" s="2" t="s">
        <v>418</v>
      </c>
      <c r="G113" s="2" t="str">
        <v>Peter Richardson</v>
      </c>
      <c r="H113" s="2" t="str" cm="1">
        <f t="array" ref="H113">_xlfn.TEXTJOIN(" ", TRUE,LEFT(_xlfn.TEXTSPLIT(G113," "),1))</f>
        <v>P R</v>
      </c>
      <c r="M113" s="9"/>
    </row>
    <row r="114" spans="1:13" x14ac:dyDescent="0.25">
      <c r="A114" s="2" t="str">
        <v>Sarah Davis</v>
      </c>
      <c r="B114" s="3" t="s">
        <v>20</v>
      </c>
      <c r="D114" s="2" t="str">
        <v>Susan Green</v>
      </c>
      <c r="E114" s="2" t="s">
        <v>418</v>
      </c>
      <c r="G114" s="2" t="str">
        <v>Harry Morgan</v>
      </c>
      <c r="H114" s="2" t="str" cm="1">
        <f t="array" ref="H114">_xlfn.TEXTJOIN(" ", TRUE,LEFT(_xlfn.TEXTSPLIT(G114," "),1))</f>
        <v>H M</v>
      </c>
      <c r="M114" s="9"/>
    </row>
    <row r="115" spans="1:13" x14ac:dyDescent="0.25">
      <c r="A115" s="2" t="str">
        <v>Joseph Jackson</v>
      </c>
      <c r="B115" s="3" t="s">
        <v>20</v>
      </c>
      <c r="D115" s="2" t="str">
        <v>Edward Mitchell</v>
      </c>
      <c r="E115" s="2" t="s">
        <v>418</v>
      </c>
      <c r="G115" s="2" t="str">
        <v>Kathleen Bennett</v>
      </c>
      <c r="H115" s="2" t="str" cm="1">
        <f t="array" ref="H115">_xlfn.TEXTJOIN(" ", TRUE,LEFT(_xlfn.TEXTSPLIT(G115," "),1))</f>
        <v>K B</v>
      </c>
      <c r="M115" s="9"/>
    </row>
    <row r="116" spans="1:13" x14ac:dyDescent="0.25">
      <c r="A116" s="2" t="str">
        <v>Lisa Anderson</v>
      </c>
      <c r="B116" s="3" t="s">
        <v>20</v>
      </c>
      <c r="D116" s="2" t="str">
        <v>Virginia Sanders</v>
      </c>
      <c r="E116" s="2" t="s">
        <v>418</v>
      </c>
      <c r="G116" s="2" t="str">
        <v>Kevin Scott</v>
      </c>
      <c r="H116" s="2" t="str" cm="1">
        <f t="array" ref="H116">_xlfn.TEXTJOIN(" ", TRUE,LEFT(_xlfn.TEXTSPLIT(G116," "),1))</f>
        <v>K S</v>
      </c>
      <c r="M116" s="9"/>
    </row>
    <row r="117" spans="1:13" x14ac:dyDescent="0.25">
      <c r="A117" s="2" t="str">
        <v>Betty Campbell</v>
      </c>
      <c r="B117" s="3" t="s">
        <v>20</v>
      </c>
      <c r="D117" s="2" t="str">
        <v>John Smith</v>
      </c>
      <c r="E117" s="2" t="s">
        <v>418</v>
      </c>
      <c r="G117" s="2" t="str">
        <v>Michael Brown</v>
      </c>
      <c r="H117" s="2" t="str" cm="1">
        <f t="array" ref="H117">_xlfn.TEXTJOIN(" ", TRUE,LEFT(_xlfn.TEXTSPLIT(G117," "),1))</f>
        <v>M B</v>
      </c>
      <c r="M117" s="9"/>
    </row>
    <row r="118" spans="1:13" x14ac:dyDescent="0.25">
      <c r="A118" s="2" t="str">
        <v>Emma Wilson</v>
      </c>
      <c r="B118" s="3" t="s">
        <v>20</v>
      </c>
      <c r="D118" s="2" t="str">
        <v>Elizabeth Hall</v>
      </c>
      <c r="E118" s="2" t="s">
        <v>418</v>
      </c>
      <c r="G118" s="2" t="str">
        <v>Susan Green</v>
      </c>
      <c r="H118" s="2" t="str" cm="1">
        <f t="array" ref="H118">_xlfn.TEXTJOIN(" ", TRUE,LEFT(_xlfn.TEXTSPLIT(G118," "),1))</f>
        <v>S G</v>
      </c>
      <c r="M118" s="9"/>
    </row>
    <row r="119" spans="1:13" x14ac:dyDescent="0.25">
      <c r="A119" s="2" t="str">
        <v>Charles Allen</v>
      </c>
      <c r="B119" s="3" t="s">
        <v>20</v>
      </c>
      <c r="D119" s="2" t="str">
        <v>Cynthia Price</v>
      </c>
      <c r="E119" s="2" t="s">
        <v>418</v>
      </c>
      <c r="G119" s="2" t="str">
        <v>Dorothy Nelson</v>
      </c>
      <c r="H119" s="2" t="str" cm="1">
        <f t="array" ref="H119">_xlfn.TEXTJOIN(" ", TRUE,LEFT(_xlfn.TEXTSPLIT(G119," "),1))</f>
        <v>D N</v>
      </c>
      <c r="M119" s="9"/>
    </row>
    <row r="120" spans="1:13" x14ac:dyDescent="0.25">
      <c r="A120" s="2" t="str">
        <v>Peter Richardson</v>
      </c>
      <c r="B120" s="3" t="s">
        <v>20</v>
      </c>
      <c r="D120" s="2" t="str">
        <v>Margaret Wright</v>
      </c>
      <c r="E120" s="2" t="s">
        <v>418</v>
      </c>
      <c r="G120" s="2" t="str">
        <v>Helen Roberts</v>
      </c>
      <c r="H120" s="2" t="str" cm="1">
        <f t="array" ref="H120">_xlfn.TEXTJOIN(" ", TRUE,LEFT(_xlfn.TEXTSPLIT(G120," "),1))</f>
        <v>H R</v>
      </c>
      <c r="M120" s="9"/>
    </row>
    <row r="121" spans="1:13" x14ac:dyDescent="0.25">
      <c r="A121" s="2" t="str">
        <v>Peter Richardson</v>
      </c>
      <c r="B121" s="3" t="s">
        <v>20</v>
      </c>
      <c r="D121" s="2" t="str">
        <v>Kevin Scott</v>
      </c>
      <c r="E121" s="2" t="s">
        <v>418</v>
      </c>
      <c r="G121" s="2" t="str">
        <v>Jennifer Taylor</v>
      </c>
      <c r="H121" s="2" t="str" cm="1">
        <f t="array" ref="H121">_xlfn.TEXTJOIN(" ", TRUE,LEFT(_xlfn.TEXTSPLIT(G121," "),1))</f>
        <v>J T</v>
      </c>
      <c r="M121" s="9"/>
    </row>
    <row r="122" spans="1:13" x14ac:dyDescent="0.25">
      <c r="A122" s="2" t="str">
        <v>Harry Morgan</v>
      </c>
      <c r="B122" s="3" t="s">
        <v>20</v>
      </c>
      <c r="D122" s="2" t="str">
        <v>Lawrence Reed</v>
      </c>
      <c r="E122" s="2" t="s">
        <v>418</v>
      </c>
      <c r="G122" s="2" t="str">
        <v>Sharon Butler</v>
      </c>
      <c r="H122" s="2" t="str" cm="1">
        <f t="array" ref="H122">_xlfn.TEXTJOIN(" ", TRUE,LEFT(_xlfn.TEXTSPLIT(G122," "),1))</f>
        <v>S B</v>
      </c>
      <c r="M122" s="9"/>
    </row>
    <row r="123" spans="1:13" x14ac:dyDescent="0.25">
      <c r="A123" s="2" t="str">
        <v>Harry Morgan</v>
      </c>
      <c r="B123" s="3" t="s">
        <v>20</v>
      </c>
      <c r="D123" s="2" t="str">
        <v>Margaret Wright</v>
      </c>
      <c r="E123" s="2" t="s">
        <v>418</v>
      </c>
      <c r="G123" s="2" t="str">
        <v>Karen Hill</v>
      </c>
      <c r="H123" s="2" t="str" cm="1">
        <f t="array" ref="H123">_xlfn.TEXTJOIN(" ", TRUE,LEFT(_xlfn.TEXTSPLIT(G123," "),1))</f>
        <v>K H</v>
      </c>
      <c r="M123" s="9"/>
    </row>
    <row r="124" spans="1:13" x14ac:dyDescent="0.25">
      <c r="A124" s="2" t="str">
        <v>Daniel King</v>
      </c>
      <c r="B124" s="3" t="s">
        <v>20</v>
      </c>
      <c r="D124" s="2" t="str">
        <v>Kathleen Bennett</v>
      </c>
      <c r="E124" s="2" t="s">
        <v>418</v>
      </c>
      <c r="G124" s="2" t="str">
        <v>Mark Carter</v>
      </c>
      <c r="H124" s="2" t="str" cm="1">
        <f t="array" ref="H124">_xlfn.TEXTJOIN(" ", TRUE,LEFT(_xlfn.TEXTSPLIT(G124," "),1))</f>
        <v>M C</v>
      </c>
      <c r="M124" s="9"/>
    </row>
    <row r="125" spans="1:13" x14ac:dyDescent="0.25">
      <c r="A125" s="2" t="str">
        <v>Kathleen Bennett</v>
      </c>
      <c r="B125" s="3" t="s">
        <v>20</v>
      </c>
      <c r="D125" s="2" t="str">
        <v>Emma Wilson</v>
      </c>
      <c r="E125" s="2" t="s">
        <v>418</v>
      </c>
      <c r="G125" s="2" t="str">
        <v>Edward Mitchell</v>
      </c>
      <c r="H125" s="2" t="str" cm="1">
        <f t="array" ref="H125">_xlfn.TEXTJOIN(" ", TRUE,LEFT(_xlfn.TEXTSPLIT(G125," "),1))</f>
        <v>E M</v>
      </c>
      <c r="M125" s="9"/>
    </row>
    <row r="126" spans="1:13" x14ac:dyDescent="0.25">
      <c r="A126" s="2" t="str">
        <v>Kevin Scott</v>
      </c>
      <c r="B126" s="3" t="s">
        <v>20</v>
      </c>
      <c r="D126" s="2" t="str">
        <v>Karen Hill</v>
      </c>
      <c r="E126" s="2" t="s">
        <v>418</v>
      </c>
      <c r="G126" s="2" t="str">
        <v>Nancy Collins</v>
      </c>
      <c r="H126" s="2" t="str" cm="1">
        <f t="array" ref="H126">_xlfn.TEXTJOIN(" ", TRUE,LEFT(_xlfn.TEXTSPLIT(G126," "),1))</f>
        <v>N C</v>
      </c>
      <c r="M126" s="9"/>
    </row>
    <row r="127" spans="1:13" x14ac:dyDescent="0.25">
      <c r="A127" s="2" t="str">
        <v>Michael Brown</v>
      </c>
      <c r="B127" s="3" t="s">
        <v>20</v>
      </c>
      <c r="D127" s="2" t="str">
        <v>William White</v>
      </c>
      <c r="E127" s="2" t="s">
        <v>418</v>
      </c>
      <c r="G127" s="2" t="str">
        <v>Paul Baker</v>
      </c>
      <c r="H127" s="2" t="str" cm="1">
        <f t="array" ref="H127">_xlfn.TEXTJOIN(" ", TRUE,LEFT(_xlfn.TEXTSPLIT(G127," "),1))</f>
        <v>P B</v>
      </c>
      <c r="M127" s="9"/>
    </row>
    <row r="128" spans="1:13" x14ac:dyDescent="0.25">
      <c r="A128" s="2" t="str">
        <v>Ruth Brooks</v>
      </c>
      <c r="B128" s="3" t="s">
        <v>20</v>
      </c>
      <c r="D128" s="2" t="str">
        <v>Michael Brown</v>
      </c>
      <c r="E128" s="2" t="s">
        <v>418</v>
      </c>
      <c r="G128" s="2" t="str">
        <v>Linda Martin</v>
      </c>
      <c r="H128" s="2" t="str" cm="1">
        <f t="array" ref="H128">_xlfn.TEXTJOIN(" ", TRUE,LEFT(_xlfn.TEXTSPLIT(G128," "),1))</f>
        <v>L M</v>
      </c>
      <c r="M128" s="9"/>
    </row>
    <row r="129" spans="1:12" x14ac:dyDescent="0.25">
      <c r="A129" s="2" t="str">
        <v>Susan Green</v>
      </c>
      <c r="B129" s="3" t="s">
        <v>20</v>
      </c>
      <c r="D129" s="2" t="str">
        <v>Linda Martin</v>
      </c>
      <c r="E129" s="2" t="s">
        <v>418</v>
      </c>
      <c r="L129" s="9"/>
    </row>
    <row r="130" spans="1:12" x14ac:dyDescent="0.25">
      <c r="A130" s="2" t="str">
        <v>Dennis Gray</v>
      </c>
      <c r="B130" s="3" t="s">
        <v>20</v>
      </c>
      <c r="D130" s="2" t="str">
        <v>Douglas Watson</v>
      </c>
      <c r="E130" s="2" t="s">
        <v>418</v>
      </c>
      <c r="L130" s="9"/>
    </row>
    <row r="131" spans="1:12" x14ac:dyDescent="0.25">
      <c r="A131" s="2" t="str">
        <v>Gerald Murphy</v>
      </c>
      <c r="B131" s="3" t="s">
        <v>20</v>
      </c>
      <c r="D131" s="2" t="str">
        <v>Peter Richardson</v>
      </c>
      <c r="E131" s="2" t="s">
        <v>418</v>
      </c>
      <c r="L131" s="9"/>
    </row>
    <row r="132" spans="1:12" x14ac:dyDescent="0.25">
      <c r="A132" s="2" t="str">
        <v>Sandra Phillips</v>
      </c>
      <c r="B132" s="3" t="s">
        <v>20</v>
      </c>
      <c r="D132" s="2" t="str">
        <v>Helen Roberts</v>
      </c>
      <c r="E132" s="2" t="s">
        <v>418</v>
      </c>
    </row>
    <row r="133" spans="1:12" x14ac:dyDescent="0.25">
      <c r="A133" s="2" t="str">
        <v>Barbara Young</v>
      </c>
      <c r="B133" s="3" t="s">
        <v>20</v>
      </c>
      <c r="D133" s="2" t="str">
        <v>Robert Thomas</v>
      </c>
      <c r="E133" s="2" t="s">
        <v>418</v>
      </c>
    </row>
    <row r="134" spans="1:12" x14ac:dyDescent="0.25">
      <c r="A134" s="2" t="str">
        <v>James Johnson</v>
      </c>
      <c r="B134" s="3" t="s">
        <v>20</v>
      </c>
      <c r="D134" s="2" t="str">
        <v>William White</v>
      </c>
      <c r="E134" s="2" t="s">
        <v>418</v>
      </c>
    </row>
    <row r="135" spans="1:12" x14ac:dyDescent="0.25">
      <c r="A135" s="2" t="str">
        <v>Charles Allen</v>
      </c>
      <c r="B135" s="3" t="s">
        <v>20</v>
      </c>
      <c r="D135" s="2" t="str">
        <v>Kevin Scott</v>
      </c>
      <c r="E135" s="2" t="s">
        <v>418</v>
      </c>
    </row>
    <row r="136" spans="1:12" x14ac:dyDescent="0.25">
      <c r="A136" s="2" t="str">
        <v>Lisa Anderson</v>
      </c>
      <c r="B136" s="3" t="s">
        <v>20</v>
      </c>
      <c r="D136" s="2" t="str">
        <v>Emma Wilson</v>
      </c>
      <c r="E136" s="2" t="s">
        <v>418</v>
      </c>
    </row>
    <row r="137" spans="1:12" x14ac:dyDescent="0.25">
      <c r="A137" s="2" t="str">
        <v>Kevin Scott</v>
      </c>
      <c r="B137" s="3" t="s">
        <v>20</v>
      </c>
      <c r="D137" s="2" t="str">
        <v>Sarah Davis</v>
      </c>
      <c r="E137" s="2" t="s">
        <v>418</v>
      </c>
    </row>
    <row r="138" spans="1:12" x14ac:dyDescent="0.25">
      <c r="A138" s="2" t="str">
        <v>Michael Brown</v>
      </c>
      <c r="B138" s="3" t="s">
        <v>20</v>
      </c>
      <c r="D138" s="2" t="str">
        <v>Sharon Butler</v>
      </c>
      <c r="E138" s="2" t="s">
        <v>418</v>
      </c>
    </row>
    <row r="139" spans="1:12" x14ac:dyDescent="0.25">
      <c r="A139" s="2" t="str">
        <v>Dorothy Nelson</v>
      </c>
      <c r="B139" s="3" t="s">
        <v>20</v>
      </c>
      <c r="D139" s="2" t="str">
        <v>Mark Carter</v>
      </c>
      <c r="E139" s="2" t="s">
        <v>418</v>
      </c>
    </row>
    <row r="140" spans="1:12" x14ac:dyDescent="0.25">
      <c r="A140" s="2" t="str">
        <v>Julie Foster</v>
      </c>
      <c r="B140" s="3" t="s">
        <v>20</v>
      </c>
      <c r="D140" s="2" t="str">
        <v>George Adams</v>
      </c>
      <c r="E140" s="2" t="s">
        <v>418</v>
      </c>
    </row>
    <row r="141" spans="1:12" x14ac:dyDescent="0.25">
      <c r="A141" s="2" t="str">
        <v>Charles Allen</v>
      </c>
      <c r="B141" s="3" t="s">
        <v>20</v>
      </c>
      <c r="D141" s="2" t="str">
        <v>Michael Brown</v>
      </c>
      <c r="E141" s="2" t="s">
        <v>418</v>
      </c>
    </row>
    <row r="142" spans="1:12" x14ac:dyDescent="0.25">
      <c r="A142" s="2" t="str">
        <v>Frank Torres</v>
      </c>
      <c r="B142" s="3" t="s">
        <v>20</v>
      </c>
      <c r="D142" s="2" t="str">
        <v>Kevin Scott</v>
      </c>
      <c r="E142" s="2" t="s">
        <v>418</v>
      </c>
    </row>
    <row r="143" spans="1:12" x14ac:dyDescent="0.25">
      <c r="A143" s="2" t="str">
        <v>Helen Roberts</v>
      </c>
      <c r="B143" s="3" t="s">
        <v>20</v>
      </c>
      <c r="D143" s="2" t="str">
        <v>Paul Baker</v>
      </c>
      <c r="E143" s="2" t="s">
        <v>418</v>
      </c>
    </row>
    <row r="144" spans="1:12" x14ac:dyDescent="0.25">
      <c r="A144" s="2" t="str">
        <v>Jennifer Taylor</v>
      </c>
      <c r="B144" s="3" t="s">
        <v>20</v>
      </c>
      <c r="D144" s="2" t="str">
        <v>Edward Mitchell</v>
      </c>
      <c r="E144" s="2" t="s">
        <v>418</v>
      </c>
    </row>
    <row r="145" spans="1:5" x14ac:dyDescent="0.25">
      <c r="A145" s="2" t="str">
        <v>Charles Allen</v>
      </c>
      <c r="B145" s="3" t="s">
        <v>20</v>
      </c>
      <c r="D145" s="2" t="str">
        <v>Lawrence Reed</v>
      </c>
      <c r="E145" s="2" t="s">
        <v>418</v>
      </c>
    </row>
    <row r="146" spans="1:5" x14ac:dyDescent="0.25">
      <c r="A146" s="2" t="str">
        <v>Richard Lee</v>
      </c>
      <c r="B146" s="3" t="s">
        <v>20</v>
      </c>
      <c r="D146" s="2" t="str">
        <v>Charles Allen</v>
      </c>
      <c r="E146" s="2" t="s">
        <v>418</v>
      </c>
    </row>
    <row r="147" spans="1:5" x14ac:dyDescent="0.25">
      <c r="A147" s="2" t="str">
        <v>Sharon Butler</v>
      </c>
      <c r="B147" s="3" t="s">
        <v>20</v>
      </c>
      <c r="D147" s="2" t="str">
        <v>Karen Hill</v>
      </c>
      <c r="E147" s="2" t="s">
        <v>418</v>
      </c>
    </row>
    <row r="148" spans="1:5" x14ac:dyDescent="0.25">
      <c r="A148" s="2" t="str">
        <v>Karen Hill</v>
      </c>
      <c r="B148" s="3" t="s">
        <v>20</v>
      </c>
      <c r="D148" s="2" t="str">
        <v>Paul Baker</v>
      </c>
      <c r="E148" s="2" t="s">
        <v>418</v>
      </c>
    </row>
    <row r="149" spans="1:5" x14ac:dyDescent="0.25">
      <c r="A149" s="2" t="str">
        <v>Joseph Jackson</v>
      </c>
      <c r="B149" s="3" t="s">
        <v>20</v>
      </c>
      <c r="D149" s="2" t="str">
        <v>Virginia Sanders</v>
      </c>
      <c r="E149" s="2" t="s">
        <v>418</v>
      </c>
    </row>
    <row r="150" spans="1:5" x14ac:dyDescent="0.25">
      <c r="A150" s="2" t="str">
        <v>Maria Garcia</v>
      </c>
      <c r="B150" s="3" t="s">
        <v>20</v>
      </c>
      <c r="D150" s="2" t="str">
        <v>Arthur Edwards</v>
      </c>
      <c r="E150" s="2" t="s">
        <v>418</v>
      </c>
    </row>
    <row r="151" spans="1:5" x14ac:dyDescent="0.25">
      <c r="A151" s="2" t="str">
        <v>Raymond Ross</v>
      </c>
      <c r="B151" s="3" t="s">
        <v>20</v>
      </c>
      <c r="D151" s="2" t="str">
        <v>Harry Morgan</v>
      </c>
      <c r="E151" s="2" t="s">
        <v>418</v>
      </c>
    </row>
    <row r="152" spans="1:5" x14ac:dyDescent="0.25">
      <c r="A152" s="2" t="str">
        <v>Mark Carter</v>
      </c>
      <c r="B152" s="3" t="s">
        <v>20</v>
      </c>
      <c r="D152" s="2" t="str">
        <v>Cynthia Price</v>
      </c>
      <c r="E152" s="2" t="s">
        <v>418</v>
      </c>
    </row>
    <row r="153" spans="1:5" x14ac:dyDescent="0.25">
      <c r="A153" s="2" t="str">
        <v>Michael Brown</v>
      </c>
      <c r="B153" s="3" t="s">
        <v>20</v>
      </c>
      <c r="D153" s="2" t="str">
        <v>Mark Carter</v>
      </c>
      <c r="E153" s="2" t="s">
        <v>418</v>
      </c>
    </row>
    <row r="154" spans="1:5" x14ac:dyDescent="0.25">
      <c r="A154" s="2" t="str">
        <v>Edward Mitchell</v>
      </c>
      <c r="B154" s="3" t="s">
        <v>20</v>
      </c>
      <c r="D154" s="2" t="str">
        <v>Sarah Davis</v>
      </c>
      <c r="E154" s="2" t="s">
        <v>418</v>
      </c>
    </row>
    <row r="155" spans="1:5" x14ac:dyDescent="0.25">
      <c r="A155" s="2" t="str">
        <v>Nancy Collins</v>
      </c>
      <c r="B155" s="3" t="s">
        <v>20</v>
      </c>
      <c r="D155" s="2" t="str">
        <v>Margaret Wright</v>
      </c>
      <c r="E155" s="2" t="s">
        <v>418</v>
      </c>
    </row>
    <row r="156" spans="1:5" x14ac:dyDescent="0.25">
      <c r="A156" s="2" t="str">
        <v>Paul Baker</v>
      </c>
      <c r="B156" s="3" t="s">
        <v>20</v>
      </c>
      <c r="D156" s="2" t="str">
        <v>Nancy Collins</v>
      </c>
      <c r="E156" s="2" t="s">
        <v>418</v>
      </c>
    </row>
    <row r="157" spans="1:5" x14ac:dyDescent="0.25">
      <c r="A157" s="2" t="str">
        <v>Charles Allen</v>
      </c>
      <c r="B157" s="3" t="s">
        <v>20</v>
      </c>
      <c r="D157" s="2" t="str">
        <v>Linda Martin</v>
      </c>
      <c r="E157" s="2" t="s">
        <v>418</v>
      </c>
    </row>
    <row r="158" spans="1:5" x14ac:dyDescent="0.25">
      <c r="A158" s="2" t="str">
        <v>Sharon Butler</v>
      </c>
      <c r="B158" s="3" t="s">
        <v>20</v>
      </c>
      <c r="D158" s="2" t="str">
        <v>Lisa Anderson</v>
      </c>
      <c r="E158" s="2" t="s">
        <v>418</v>
      </c>
    </row>
    <row r="159" spans="1:5" x14ac:dyDescent="0.25">
      <c r="A159" s="2" t="str">
        <v>Betty Campbell</v>
      </c>
      <c r="B159" s="3" t="s">
        <v>20</v>
      </c>
    </row>
    <row r="160" spans="1:5" x14ac:dyDescent="0.25">
      <c r="A160" s="2" t="str">
        <v>Carol Evans</v>
      </c>
      <c r="B160" s="3" t="s">
        <v>20</v>
      </c>
    </row>
    <row r="161" spans="1:2" x14ac:dyDescent="0.25">
      <c r="A161" s="2" t="str">
        <v>Barbara Young</v>
      </c>
      <c r="B161" s="3" t="s">
        <v>20</v>
      </c>
    </row>
    <row r="162" spans="1:2" x14ac:dyDescent="0.25">
      <c r="A162" s="2" t="str">
        <v>Michael Brown</v>
      </c>
      <c r="B162" s="3" t="s">
        <v>20</v>
      </c>
    </row>
    <row r="163" spans="1:2" x14ac:dyDescent="0.25">
      <c r="A163" s="2" t="str">
        <v>Helen Roberts</v>
      </c>
      <c r="B163" s="3" t="s">
        <v>20</v>
      </c>
    </row>
    <row r="164" spans="1:2" x14ac:dyDescent="0.25">
      <c r="A164" s="2" t="str">
        <v>Steven Turner</v>
      </c>
      <c r="B164" s="3" t="s">
        <v>20</v>
      </c>
    </row>
    <row r="165" spans="1:2" x14ac:dyDescent="0.25">
      <c r="A165" s="2" t="str">
        <v>Karen Hill</v>
      </c>
      <c r="B165" s="3" t="s">
        <v>20</v>
      </c>
    </row>
    <row r="166" spans="1:2" x14ac:dyDescent="0.25">
      <c r="A166" s="2" t="str">
        <v>Nancy Collins</v>
      </c>
      <c r="B166" s="3" t="s">
        <v>20</v>
      </c>
    </row>
    <row r="167" spans="1:2" x14ac:dyDescent="0.25">
      <c r="A167" s="2" t="str">
        <v>Charles Allen</v>
      </c>
      <c r="B167" s="3" t="s">
        <v>20</v>
      </c>
    </row>
    <row r="168" spans="1:2" x14ac:dyDescent="0.25">
      <c r="A168" s="2" t="str">
        <v>Linda Martin</v>
      </c>
      <c r="B168" s="3" t="s">
        <v>20</v>
      </c>
    </row>
    <row r="169" spans="1:2" x14ac:dyDescent="0.25">
      <c r="A169" s="2" t="str">
        <v>Barbara Young</v>
      </c>
      <c r="B169" s="3" t="s">
        <v>20</v>
      </c>
    </row>
    <row r="170" spans="1:2" x14ac:dyDescent="0.25">
      <c r="A170" s="2" t="str">
        <v>Peter Richardson</v>
      </c>
      <c r="B170" s="3" t="s">
        <v>20</v>
      </c>
    </row>
    <row r="171" spans="1:2" x14ac:dyDescent="0.25">
      <c r="A171" s="2" t="str">
        <v>Michael Brown</v>
      </c>
      <c r="B171" s="3" t="s">
        <v>20</v>
      </c>
    </row>
    <row r="172" spans="1:2" x14ac:dyDescent="0.25">
      <c r="A172" s="2" t="str">
        <v>Frank Torres</v>
      </c>
      <c r="B172" s="3" t="s">
        <v>20</v>
      </c>
    </row>
    <row r="173" spans="1:2" x14ac:dyDescent="0.25">
      <c r="A173" s="2" t="str">
        <v>Steven Turner</v>
      </c>
      <c r="B173" s="3" t="s">
        <v>20</v>
      </c>
    </row>
    <row r="174" spans="1:2" x14ac:dyDescent="0.25">
      <c r="A174" s="2" t="str">
        <v>Charles Allen</v>
      </c>
      <c r="B174" s="3" t="s">
        <v>20</v>
      </c>
    </row>
    <row r="175" spans="1:2" x14ac:dyDescent="0.25">
      <c r="A175" s="2" t="str">
        <v>Daniel King</v>
      </c>
      <c r="B175" s="3" t="s">
        <v>20</v>
      </c>
    </row>
    <row r="176" spans="1:2" x14ac:dyDescent="0.25">
      <c r="A176" s="2" t="str">
        <v>Richard Lee</v>
      </c>
      <c r="B176" s="3" t="s">
        <v>20</v>
      </c>
    </row>
    <row r="177" spans="1:2" x14ac:dyDescent="0.25">
      <c r="A177" s="2" t="str">
        <v>Barbara Young</v>
      </c>
      <c r="B177" s="3" t="s">
        <v>20</v>
      </c>
    </row>
    <row r="178" spans="1:2" x14ac:dyDescent="0.25">
      <c r="A178" s="2" t="str">
        <v>Michelle Rogers</v>
      </c>
      <c r="B178" s="3" t="s">
        <v>20</v>
      </c>
    </row>
    <row r="179" spans="1:2" x14ac:dyDescent="0.25">
      <c r="A179" s="2" t="str">
        <v>Patricia Moore</v>
      </c>
      <c r="B179" s="3" t="s">
        <v>20</v>
      </c>
    </row>
    <row r="180" spans="1:2" x14ac:dyDescent="0.25">
      <c r="A180" s="2" t="str">
        <v>Mark Carter</v>
      </c>
      <c r="B180" s="3" t="s">
        <v>20</v>
      </c>
    </row>
    <row r="181" spans="1:2" x14ac:dyDescent="0.25">
      <c r="A181" s="2" t="str">
        <v>Peter Richardson</v>
      </c>
      <c r="B181" s="3" t="s">
        <v>20</v>
      </c>
    </row>
    <row r="182" spans="1:2" x14ac:dyDescent="0.25">
      <c r="A182" s="2" t="str">
        <v>Kathleen Bennett</v>
      </c>
      <c r="B182" s="3" t="s">
        <v>20</v>
      </c>
    </row>
  </sheetData>
  <scenarios current="1" show="0" sqref="I46">
    <scenario name="Bast Case" locked="1" count="1" user="himanshi" comment="Created by himanshi on 09-10-2026_x000a_Modified by himanshi on 09-10-2026">
      <inputCells r="I45" val="0.2" numFmtId="9"/>
    </scenario>
    <scenario name="Normal" locked="1" count="1" user="himanshi" comment="Created by himanshi on 09-10-2026_x000a_Modified by himanshi on 09-10-2026">
      <inputCells r="I45" val="0.1" numFmtId="9"/>
    </scenario>
    <scenario name="Worst Case " locked="1" count="1" user="himanshi" comment="Created by himanshi on 09-10-2026">
      <inputCells r="I45" val="-0.1" numFmtId="9"/>
    </scenario>
  </scenarios>
  <mergeCells count="14">
    <mergeCell ref="D13:E13"/>
    <mergeCell ref="F13:G13"/>
    <mergeCell ref="E49:F50"/>
    <mergeCell ref="H49:I50"/>
    <mergeCell ref="A29:A30"/>
    <mergeCell ref="B29:B30"/>
    <mergeCell ref="E43:E44"/>
    <mergeCell ref="F43:F44"/>
    <mergeCell ref="A4:A5"/>
    <mergeCell ref="B4:B5"/>
    <mergeCell ref="D11:E11"/>
    <mergeCell ref="D12:E12"/>
    <mergeCell ref="F12:G12"/>
    <mergeCell ref="F11:G11"/>
  </mergeCells>
  <conditionalFormatting sqref="C58:C69">
    <cfRule type="iconSet" priority="1">
      <iconSet iconSet="3Arrows">
        <cfvo type="percent" val="0"/>
        <cfvo type="percent" val="33"/>
        <cfvo type="percent" val="67"/>
      </iconSet>
    </cfRule>
  </conditionalFormatting>
  <dataValidations count="1">
    <dataValidation type="list" allowBlank="1" showInputMessage="1" showErrorMessage="1" sqref="F43" xr:uid="{052B0AED-B342-4237-8868-F00473A69C8D}">
      <formula1>$A$43:$A$52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4ED86C7-0BB0-4752-976A-AFB23E61B6DD}">
          <x14:formula1>
            <xm:f>'Raw Data'!$A$2:$A$251</xm:f>
          </x14:formula1>
          <xm:sqref>B4</xm:sqref>
        </x14:dataValidation>
        <x14:dataValidation type="list" allowBlank="1" showInputMessage="1" showErrorMessage="1" xr:uid="{D8AF6CFB-8B3C-4C57-8D67-95F86D1B19DB}">
          <x14:formula1>
            <xm:f>'Raw Data'!$L$2:$L$251</xm:f>
          </x14:formula1>
          <xm:sqref>B29:B30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C27B6-EE78-4115-89E6-C65461B1A6D3}">
  <dimension ref="A1:M166"/>
  <sheetViews>
    <sheetView workbookViewId="0">
      <selection activeCell="A13" sqref="A13"/>
    </sheetView>
  </sheetViews>
  <sheetFormatPr defaultRowHeight="15" x14ac:dyDescent="0.25"/>
  <cols>
    <col min="1" max="1" width="17.85546875" style="45" bestFit="1" customWidth="1"/>
    <col min="2" max="2" width="20.28515625" style="45" bestFit="1" customWidth="1"/>
    <col min="3" max="3" width="9.140625" style="45"/>
    <col min="4" max="4" width="15.28515625" style="45" bestFit="1" customWidth="1"/>
    <col min="5" max="5" width="25.28515625" style="45" bestFit="1" customWidth="1"/>
    <col min="6" max="6" width="9.140625" style="45"/>
    <col min="7" max="7" width="15.42578125" style="45" customWidth="1"/>
    <col min="8" max="8" width="5.7109375" style="45" bestFit="1" customWidth="1"/>
    <col min="9" max="9" width="17.7109375" style="45" bestFit="1" customWidth="1"/>
    <col min="10" max="10" width="9.140625" style="45" customWidth="1"/>
    <col min="11" max="11" width="33.5703125" style="45" bestFit="1" customWidth="1"/>
    <col min="12" max="12" width="27.7109375" style="45" bestFit="1" customWidth="1"/>
    <col min="13" max="13" width="11.140625" style="45" bestFit="1" customWidth="1"/>
    <col min="14" max="16384" width="9.140625" style="45"/>
  </cols>
  <sheetData>
    <row r="1" spans="1:13" x14ac:dyDescent="0.25">
      <c r="A1" s="72" t="s">
        <v>463</v>
      </c>
      <c r="B1" s="72"/>
      <c r="C1" s="72"/>
      <c r="D1" s="72"/>
      <c r="E1" s="72"/>
      <c r="F1" s="72"/>
      <c r="G1" s="72"/>
      <c r="H1" s="72"/>
    </row>
    <row r="3" spans="1:13" x14ac:dyDescent="0.25">
      <c r="D3" s="70" t="s">
        <v>508</v>
      </c>
      <c r="E3" s="71"/>
      <c r="H3" s="70" t="s">
        <v>509</v>
      </c>
      <c r="I3" s="71"/>
      <c r="K3" s="70" t="s">
        <v>457</v>
      </c>
      <c r="L3" s="71"/>
    </row>
    <row r="4" spans="1:13" x14ac:dyDescent="0.25">
      <c r="A4" s="2" t="s">
        <v>421</v>
      </c>
      <c r="D4" s="46" t="s">
        <v>425</v>
      </c>
      <c r="E4" s="2" t="s">
        <v>424</v>
      </c>
      <c r="H4" s="47" t="s">
        <v>510</v>
      </c>
      <c r="I4" s="48" t="s">
        <v>431</v>
      </c>
      <c r="K4" s="46" t="s">
        <v>429</v>
      </c>
      <c r="L4" s="2" t="s">
        <v>430</v>
      </c>
    </row>
    <row r="5" spans="1:13" x14ac:dyDescent="0.25">
      <c r="A5" s="49">
        <v>229192.47000000041</v>
      </c>
      <c r="D5" s="2" t="s">
        <v>62</v>
      </c>
      <c r="E5" s="49">
        <v>67499.249999999985</v>
      </c>
      <c r="H5" s="50">
        <v>45393</v>
      </c>
      <c r="I5" s="49">
        <v>1</v>
      </c>
      <c r="K5" s="2" t="s">
        <v>22</v>
      </c>
      <c r="L5" s="25">
        <v>0.29599999999999999</v>
      </c>
    </row>
    <row r="6" spans="1:13" x14ac:dyDescent="0.25">
      <c r="D6" s="2" t="s">
        <v>81</v>
      </c>
      <c r="E6" s="49">
        <v>67199.039999999994</v>
      </c>
      <c r="H6" s="50">
        <v>45396</v>
      </c>
      <c r="I6" s="49">
        <v>1</v>
      </c>
      <c r="K6" s="2" t="s">
        <v>27</v>
      </c>
      <c r="L6" s="25">
        <v>0.38</v>
      </c>
    </row>
    <row r="7" spans="1:13" x14ac:dyDescent="0.25">
      <c r="D7" s="2" t="s">
        <v>106</v>
      </c>
      <c r="E7" s="49">
        <v>23399.22</v>
      </c>
      <c r="H7" s="50">
        <v>45399</v>
      </c>
      <c r="I7" s="49">
        <v>1</v>
      </c>
      <c r="K7" s="2" t="s">
        <v>36</v>
      </c>
      <c r="L7" s="25">
        <v>0.32400000000000001</v>
      </c>
    </row>
    <row r="8" spans="1:13" x14ac:dyDescent="0.25">
      <c r="A8" s="51" t="s">
        <v>422</v>
      </c>
      <c r="D8" s="2" t="s">
        <v>18</v>
      </c>
      <c r="E8" s="49">
        <v>21999.120000000003</v>
      </c>
      <c r="H8" s="50">
        <v>45400</v>
      </c>
      <c r="I8" s="49">
        <v>2</v>
      </c>
    </row>
    <row r="9" spans="1:13" x14ac:dyDescent="0.25">
      <c r="A9" s="49">
        <v>753</v>
      </c>
      <c r="D9" s="2" t="s">
        <v>45</v>
      </c>
      <c r="E9" s="49">
        <v>15298.979999999998</v>
      </c>
      <c r="H9" s="50">
        <v>45403</v>
      </c>
      <c r="I9" s="49">
        <v>3</v>
      </c>
    </row>
    <row r="10" spans="1:13" x14ac:dyDescent="0.25">
      <c r="D10" s="2" t="s">
        <v>127</v>
      </c>
      <c r="E10" s="49">
        <v>10399.48</v>
      </c>
      <c r="H10" s="50">
        <v>45405</v>
      </c>
      <c r="I10" s="49">
        <v>1</v>
      </c>
      <c r="K10" s="70" t="s">
        <v>456</v>
      </c>
      <c r="L10" s="71"/>
    </row>
    <row r="11" spans="1:13" x14ac:dyDescent="0.25">
      <c r="D11" s="2" t="s">
        <v>118</v>
      </c>
      <c r="E11" s="49">
        <v>8009.1099999999951</v>
      </c>
      <c r="H11" s="50">
        <v>45408</v>
      </c>
      <c r="I11" s="49">
        <v>4</v>
      </c>
      <c r="K11" s="26" t="s">
        <v>452</v>
      </c>
      <c r="L11" s="2">
        <f>COUNTA(_xlfn.UNIQUE('Raw Data'!D2:D251))</f>
        <v>50</v>
      </c>
      <c r="M11" s="2" t="s">
        <v>447</v>
      </c>
    </row>
    <row r="12" spans="1:13" x14ac:dyDescent="0.25">
      <c r="A12" s="51" t="s">
        <v>423</v>
      </c>
      <c r="D12" s="2" t="s">
        <v>53</v>
      </c>
      <c r="E12" s="49">
        <v>7049.53</v>
      </c>
      <c r="H12" s="50">
        <v>45409</v>
      </c>
      <c r="I12" s="49">
        <v>3</v>
      </c>
      <c r="K12" s="26" t="s">
        <v>453</v>
      </c>
      <c r="L12" s="2">
        <f>MAX(B31)</f>
        <v>67499.249999999985</v>
      </c>
      <c r="M12" s="2" t="str">
        <f>INDEX($A$31:$A$40,MATCH(L12,$B$31:$B$40,0))</f>
        <v>Laptop</v>
      </c>
    </row>
    <row r="13" spans="1:13" x14ac:dyDescent="0.25">
      <c r="A13" s="49">
        <v>250</v>
      </c>
      <c r="D13" s="2" t="s">
        <v>32</v>
      </c>
      <c r="E13" s="49">
        <v>5219.1299999999992</v>
      </c>
      <c r="H13" s="50">
        <v>45410</v>
      </c>
      <c r="I13" s="49">
        <v>4</v>
      </c>
      <c r="K13" s="26" t="s">
        <v>454</v>
      </c>
      <c r="L13" s="2">
        <f>MAX($E$26:$E$76)</f>
        <v>15659.649999999996</v>
      </c>
      <c r="M13" s="2" t="str">
        <f>INDEX($D$26:$D$76,MATCH(L13,$E$26:$E$76,0))</f>
        <v>Mark Carter</v>
      </c>
    </row>
    <row r="14" spans="1:13" x14ac:dyDescent="0.25">
      <c r="D14" s="2" t="s">
        <v>115</v>
      </c>
      <c r="E14" s="49">
        <v>3119.6099999999992</v>
      </c>
      <c r="H14" s="50">
        <v>45412</v>
      </c>
      <c r="I14" s="49">
        <v>1</v>
      </c>
      <c r="K14" s="26" t="s">
        <v>455</v>
      </c>
      <c r="L14" s="25">
        <f>MAX(E19:E22)</f>
        <v>0.30399999999999999</v>
      </c>
      <c r="M14" s="2" t="str">
        <f>INDEX(D19:D22,MATCH(L14,E19:E22,0))</f>
        <v>Cash</v>
      </c>
    </row>
    <row r="15" spans="1:13" x14ac:dyDescent="0.25">
      <c r="H15" s="50">
        <v>45413</v>
      </c>
      <c r="I15" s="49">
        <v>1</v>
      </c>
    </row>
    <row r="16" spans="1:13" x14ac:dyDescent="0.25">
      <c r="A16" s="52" t="s">
        <v>426</v>
      </c>
      <c r="H16" s="50">
        <v>45415</v>
      </c>
      <c r="I16" s="49">
        <v>1</v>
      </c>
    </row>
    <row r="17" spans="1:11" x14ac:dyDescent="0.25">
      <c r="A17" s="46" t="s">
        <v>416</v>
      </c>
      <c r="B17" s="2" t="s">
        <v>424</v>
      </c>
      <c r="D17" s="70" t="s">
        <v>427</v>
      </c>
      <c r="E17" s="71"/>
      <c r="H17" s="50">
        <v>45416</v>
      </c>
      <c r="I17" s="49">
        <v>1</v>
      </c>
    </row>
    <row r="18" spans="1:11" x14ac:dyDescent="0.25">
      <c r="A18" s="2" t="s">
        <v>87</v>
      </c>
      <c r="B18" s="49">
        <v>15659.650000000001</v>
      </c>
      <c r="D18" s="47" t="s">
        <v>417</v>
      </c>
      <c r="E18" s="48" t="s">
        <v>428</v>
      </c>
      <c r="H18" s="50">
        <v>45422</v>
      </c>
      <c r="I18" s="49">
        <v>1</v>
      </c>
    </row>
    <row r="19" spans="1:11" x14ac:dyDescent="0.25">
      <c r="A19" s="2" t="s">
        <v>124</v>
      </c>
      <c r="B19" s="49">
        <v>11919.769999999999</v>
      </c>
      <c r="D19" s="2" t="s">
        <v>20</v>
      </c>
      <c r="E19" s="25">
        <v>0.30399999999999999</v>
      </c>
      <c r="H19" s="50">
        <v>45424</v>
      </c>
      <c r="I19" s="49">
        <v>3</v>
      </c>
    </row>
    <row r="20" spans="1:11" x14ac:dyDescent="0.25">
      <c r="A20" s="2" t="s">
        <v>97</v>
      </c>
      <c r="B20" s="49">
        <v>10649.8</v>
      </c>
      <c r="D20" s="2" t="s">
        <v>26</v>
      </c>
      <c r="E20" s="25">
        <v>0.27200000000000002</v>
      </c>
      <c r="H20" s="50">
        <v>45425</v>
      </c>
      <c r="I20" s="49">
        <v>1</v>
      </c>
      <c r="K20" s="53"/>
    </row>
    <row r="21" spans="1:11" x14ac:dyDescent="0.25">
      <c r="A21" s="2" t="s">
        <v>100</v>
      </c>
      <c r="B21" s="49">
        <v>9799.73</v>
      </c>
      <c r="D21" s="2" t="s">
        <v>57</v>
      </c>
      <c r="E21" s="25">
        <v>0.216</v>
      </c>
      <c r="H21" s="50">
        <v>45427</v>
      </c>
      <c r="I21" s="49">
        <v>2</v>
      </c>
    </row>
    <row r="22" spans="1:11" x14ac:dyDescent="0.25">
      <c r="A22" s="2" t="s">
        <v>16</v>
      </c>
      <c r="B22" s="49">
        <v>8309.74</v>
      </c>
      <c r="D22" s="2" t="s">
        <v>34</v>
      </c>
      <c r="E22" s="25">
        <v>0.20799999999999999</v>
      </c>
      <c r="H22" s="50">
        <v>45428</v>
      </c>
      <c r="I22" s="49">
        <v>1</v>
      </c>
      <c r="K22" s="54"/>
    </row>
    <row r="23" spans="1:11" x14ac:dyDescent="0.25">
      <c r="A23" s="2" t="s">
        <v>49</v>
      </c>
      <c r="B23" s="49">
        <v>8269.7900000000009</v>
      </c>
      <c r="H23" s="50">
        <v>45430</v>
      </c>
      <c r="I23" s="49">
        <v>1</v>
      </c>
    </row>
    <row r="24" spans="1:11" x14ac:dyDescent="0.25">
      <c r="A24" s="2" t="s">
        <v>66</v>
      </c>
      <c r="B24" s="49">
        <v>8009.77</v>
      </c>
      <c r="D24" s="70" t="s">
        <v>507</v>
      </c>
      <c r="E24" s="71"/>
      <c r="H24" s="50">
        <v>45432</v>
      </c>
      <c r="I24" s="49">
        <v>1</v>
      </c>
    </row>
    <row r="25" spans="1:11" x14ac:dyDescent="0.25">
      <c r="A25" s="2" t="s">
        <v>148</v>
      </c>
      <c r="B25" s="49">
        <v>7309.7999999999993</v>
      </c>
      <c r="D25" s="46" t="s">
        <v>505</v>
      </c>
      <c r="E25" s="2" t="s">
        <v>506</v>
      </c>
      <c r="H25" s="50">
        <v>45434</v>
      </c>
      <c r="I25" s="49">
        <v>1</v>
      </c>
    </row>
    <row r="26" spans="1:11" x14ac:dyDescent="0.25">
      <c r="A26" s="2" t="s">
        <v>227</v>
      </c>
      <c r="B26" s="49">
        <v>6989.77</v>
      </c>
      <c r="D26" s="2" t="s">
        <v>87</v>
      </c>
      <c r="E26" s="49">
        <v>15659.649999999996</v>
      </c>
      <c r="H26" s="50">
        <v>45435</v>
      </c>
      <c r="I26" s="49">
        <v>1</v>
      </c>
    </row>
    <row r="27" spans="1:11" x14ac:dyDescent="0.25">
      <c r="A27" s="2" t="s">
        <v>25</v>
      </c>
      <c r="B27" s="49">
        <v>6949.84</v>
      </c>
      <c r="H27" s="50">
        <v>45438</v>
      </c>
      <c r="I27" s="49">
        <v>1</v>
      </c>
    </row>
    <row r="28" spans="1:11" x14ac:dyDescent="0.25">
      <c r="A28" s="21"/>
      <c r="B28" s="55"/>
      <c r="H28" s="50">
        <v>45440</v>
      </c>
      <c r="I28" s="49">
        <v>1</v>
      </c>
    </row>
    <row r="29" spans="1:11" x14ac:dyDescent="0.25">
      <c r="A29" s="52" t="s">
        <v>508</v>
      </c>
      <c r="H29" s="50">
        <v>45441</v>
      </c>
      <c r="I29" s="49">
        <v>1</v>
      </c>
    </row>
    <row r="30" spans="1:11" x14ac:dyDescent="0.25">
      <c r="A30" s="46" t="s">
        <v>505</v>
      </c>
      <c r="B30" s="2" t="s">
        <v>506</v>
      </c>
      <c r="H30" s="50">
        <v>45443</v>
      </c>
      <c r="I30" s="49">
        <v>1</v>
      </c>
    </row>
    <row r="31" spans="1:11" x14ac:dyDescent="0.25">
      <c r="A31" s="2" t="s">
        <v>62</v>
      </c>
      <c r="B31" s="49">
        <v>67499.249999999985</v>
      </c>
      <c r="H31" s="50">
        <v>45444</v>
      </c>
      <c r="I31" s="49">
        <v>2</v>
      </c>
    </row>
    <row r="32" spans="1:11" x14ac:dyDescent="0.25">
      <c r="A32" s="2" t="s">
        <v>81</v>
      </c>
      <c r="B32" s="49">
        <v>67199.039999999994</v>
      </c>
      <c r="H32" s="50">
        <v>45446</v>
      </c>
      <c r="I32" s="49">
        <v>1</v>
      </c>
    </row>
    <row r="33" spans="1:9" x14ac:dyDescent="0.25">
      <c r="A33" s="2" t="s">
        <v>106</v>
      </c>
      <c r="B33" s="49">
        <v>23399.22</v>
      </c>
      <c r="H33" s="50">
        <v>45449</v>
      </c>
      <c r="I33" s="49">
        <v>2</v>
      </c>
    </row>
    <row r="34" spans="1:9" x14ac:dyDescent="0.25">
      <c r="A34" s="2" t="s">
        <v>18</v>
      </c>
      <c r="B34" s="49">
        <v>21999.120000000003</v>
      </c>
      <c r="H34" s="50">
        <v>45450</v>
      </c>
      <c r="I34" s="49">
        <v>1</v>
      </c>
    </row>
    <row r="35" spans="1:9" x14ac:dyDescent="0.25">
      <c r="A35" s="2" t="s">
        <v>45</v>
      </c>
      <c r="B35" s="49">
        <v>15298.979999999998</v>
      </c>
      <c r="H35" s="50">
        <v>45452</v>
      </c>
      <c r="I35" s="49">
        <v>1</v>
      </c>
    </row>
    <row r="36" spans="1:9" x14ac:dyDescent="0.25">
      <c r="A36" s="2" t="s">
        <v>127</v>
      </c>
      <c r="B36" s="49">
        <v>10399.48</v>
      </c>
      <c r="H36" s="50">
        <v>45456</v>
      </c>
      <c r="I36" s="49">
        <v>1</v>
      </c>
    </row>
    <row r="37" spans="1:9" x14ac:dyDescent="0.25">
      <c r="A37" s="2" t="s">
        <v>118</v>
      </c>
      <c r="B37" s="49">
        <v>8009.1099999999951</v>
      </c>
      <c r="H37" s="50">
        <v>45459</v>
      </c>
      <c r="I37" s="49">
        <v>3</v>
      </c>
    </row>
    <row r="38" spans="1:9" x14ac:dyDescent="0.25">
      <c r="A38" s="2" t="s">
        <v>53</v>
      </c>
      <c r="B38" s="49">
        <v>7049.53</v>
      </c>
      <c r="H38" s="50">
        <v>45460</v>
      </c>
      <c r="I38" s="49">
        <v>2</v>
      </c>
    </row>
    <row r="39" spans="1:9" x14ac:dyDescent="0.25">
      <c r="A39" s="2" t="s">
        <v>32</v>
      </c>
      <c r="B39" s="49">
        <v>5219.1299999999992</v>
      </c>
      <c r="H39" s="50">
        <v>45468</v>
      </c>
      <c r="I39" s="49">
        <v>1</v>
      </c>
    </row>
    <row r="40" spans="1:9" x14ac:dyDescent="0.25">
      <c r="A40" s="2" t="s">
        <v>115</v>
      </c>
      <c r="B40" s="49">
        <v>3119.6099999999992</v>
      </c>
      <c r="H40" s="50">
        <v>45469</v>
      </c>
      <c r="I40" s="49">
        <v>2</v>
      </c>
    </row>
    <row r="41" spans="1:9" x14ac:dyDescent="0.25">
      <c r="H41" s="50">
        <v>45471</v>
      </c>
      <c r="I41" s="49">
        <v>2</v>
      </c>
    </row>
    <row r="42" spans="1:9" x14ac:dyDescent="0.25">
      <c r="H42" s="50">
        <v>45472</v>
      </c>
      <c r="I42" s="49">
        <v>1</v>
      </c>
    </row>
    <row r="43" spans="1:9" x14ac:dyDescent="0.25">
      <c r="H43" s="50">
        <v>45474</v>
      </c>
      <c r="I43" s="49">
        <v>1</v>
      </c>
    </row>
    <row r="44" spans="1:9" x14ac:dyDescent="0.25">
      <c r="H44" s="50">
        <v>45475</v>
      </c>
      <c r="I44" s="49">
        <v>1</v>
      </c>
    </row>
    <row r="45" spans="1:9" x14ac:dyDescent="0.25">
      <c r="H45" s="50">
        <v>45476</v>
      </c>
      <c r="I45" s="49">
        <v>2</v>
      </c>
    </row>
    <row r="46" spans="1:9" x14ac:dyDescent="0.25">
      <c r="H46" s="50">
        <v>45481</v>
      </c>
      <c r="I46" s="49">
        <v>3</v>
      </c>
    </row>
    <row r="47" spans="1:9" x14ac:dyDescent="0.25">
      <c r="H47" s="50">
        <v>45482</v>
      </c>
      <c r="I47" s="49">
        <v>1</v>
      </c>
    </row>
    <row r="48" spans="1:9" x14ac:dyDescent="0.25">
      <c r="H48" s="50">
        <v>45484</v>
      </c>
      <c r="I48" s="49">
        <v>2</v>
      </c>
    </row>
    <row r="49" spans="8:9" x14ac:dyDescent="0.25">
      <c r="H49" s="50">
        <v>45487</v>
      </c>
      <c r="I49" s="49">
        <v>1</v>
      </c>
    </row>
    <row r="50" spans="8:9" x14ac:dyDescent="0.25">
      <c r="H50" s="50">
        <v>45490</v>
      </c>
      <c r="I50" s="49">
        <v>2</v>
      </c>
    </row>
    <row r="51" spans="8:9" x14ac:dyDescent="0.25">
      <c r="H51" s="50">
        <v>45491</v>
      </c>
      <c r="I51" s="49">
        <v>1</v>
      </c>
    </row>
    <row r="52" spans="8:9" x14ac:dyDescent="0.25">
      <c r="H52" s="50">
        <v>45496</v>
      </c>
      <c r="I52" s="49">
        <v>1</v>
      </c>
    </row>
    <row r="53" spans="8:9" x14ac:dyDescent="0.25">
      <c r="H53" s="50">
        <v>45497</v>
      </c>
      <c r="I53" s="49">
        <v>1</v>
      </c>
    </row>
    <row r="54" spans="8:9" x14ac:dyDescent="0.25">
      <c r="H54" s="50">
        <v>45498</v>
      </c>
      <c r="I54" s="49">
        <v>2</v>
      </c>
    </row>
    <row r="55" spans="8:9" x14ac:dyDescent="0.25">
      <c r="H55" s="50">
        <v>45500</v>
      </c>
      <c r="I55" s="49">
        <v>2</v>
      </c>
    </row>
    <row r="56" spans="8:9" x14ac:dyDescent="0.25">
      <c r="H56" s="50">
        <v>45501</v>
      </c>
      <c r="I56" s="49">
        <v>2</v>
      </c>
    </row>
    <row r="57" spans="8:9" x14ac:dyDescent="0.25">
      <c r="H57" s="50">
        <v>45503</v>
      </c>
      <c r="I57" s="49">
        <v>1</v>
      </c>
    </row>
    <row r="58" spans="8:9" x14ac:dyDescent="0.25">
      <c r="H58" s="50">
        <v>45504</v>
      </c>
      <c r="I58" s="49">
        <v>1</v>
      </c>
    </row>
    <row r="59" spans="8:9" x14ac:dyDescent="0.25">
      <c r="H59" s="50">
        <v>45509</v>
      </c>
      <c r="I59" s="49">
        <v>1</v>
      </c>
    </row>
    <row r="60" spans="8:9" x14ac:dyDescent="0.25">
      <c r="H60" s="50">
        <v>45510</v>
      </c>
      <c r="I60" s="49">
        <v>1</v>
      </c>
    </row>
    <row r="61" spans="8:9" x14ac:dyDescent="0.25">
      <c r="H61" s="50">
        <v>45513</v>
      </c>
      <c r="I61" s="49">
        <v>1</v>
      </c>
    </row>
    <row r="62" spans="8:9" x14ac:dyDescent="0.25">
      <c r="H62" s="50">
        <v>45515</v>
      </c>
      <c r="I62" s="49">
        <v>1</v>
      </c>
    </row>
    <row r="63" spans="8:9" x14ac:dyDescent="0.25">
      <c r="H63" s="50">
        <v>45517</v>
      </c>
      <c r="I63" s="49">
        <v>4</v>
      </c>
    </row>
    <row r="64" spans="8:9" x14ac:dyDescent="0.25">
      <c r="H64" s="50">
        <v>45519</v>
      </c>
      <c r="I64" s="49">
        <v>1</v>
      </c>
    </row>
    <row r="65" spans="8:9" x14ac:dyDescent="0.25">
      <c r="H65" s="50">
        <v>45522</v>
      </c>
      <c r="I65" s="49">
        <v>1</v>
      </c>
    </row>
    <row r="66" spans="8:9" x14ac:dyDescent="0.25">
      <c r="H66" s="50">
        <v>45523</v>
      </c>
      <c r="I66" s="49">
        <v>2</v>
      </c>
    </row>
    <row r="67" spans="8:9" x14ac:dyDescent="0.25">
      <c r="H67" s="50">
        <v>45526</v>
      </c>
      <c r="I67" s="49">
        <v>1</v>
      </c>
    </row>
    <row r="68" spans="8:9" x14ac:dyDescent="0.25">
      <c r="H68" s="50">
        <v>45528</v>
      </c>
      <c r="I68" s="49">
        <v>2</v>
      </c>
    </row>
    <row r="69" spans="8:9" x14ac:dyDescent="0.25">
      <c r="H69" s="50">
        <v>45532</v>
      </c>
      <c r="I69" s="49">
        <v>2</v>
      </c>
    </row>
    <row r="70" spans="8:9" x14ac:dyDescent="0.25">
      <c r="H70" s="50">
        <v>45534</v>
      </c>
      <c r="I70" s="49">
        <v>1</v>
      </c>
    </row>
    <row r="71" spans="8:9" x14ac:dyDescent="0.25">
      <c r="H71" s="50">
        <v>45537</v>
      </c>
      <c r="I71" s="49">
        <v>2</v>
      </c>
    </row>
    <row r="72" spans="8:9" x14ac:dyDescent="0.25">
      <c r="H72" s="50">
        <v>45538</v>
      </c>
      <c r="I72" s="49">
        <v>1</v>
      </c>
    </row>
    <row r="73" spans="8:9" x14ac:dyDescent="0.25">
      <c r="H73" s="50">
        <v>45541</v>
      </c>
      <c r="I73" s="49">
        <v>1</v>
      </c>
    </row>
    <row r="74" spans="8:9" x14ac:dyDescent="0.25">
      <c r="H74" s="50">
        <v>45544</v>
      </c>
      <c r="I74" s="49">
        <v>2</v>
      </c>
    </row>
    <row r="75" spans="8:9" x14ac:dyDescent="0.25">
      <c r="H75" s="50">
        <v>45545</v>
      </c>
      <c r="I75" s="49">
        <v>1</v>
      </c>
    </row>
    <row r="76" spans="8:9" x14ac:dyDescent="0.25">
      <c r="H76" s="50">
        <v>45547</v>
      </c>
      <c r="I76" s="49">
        <v>1</v>
      </c>
    </row>
    <row r="77" spans="8:9" x14ac:dyDescent="0.25">
      <c r="H77" s="50">
        <v>45548</v>
      </c>
      <c r="I77" s="49">
        <v>1</v>
      </c>
    </row>
    <row r="78" spans="8:9" x14ac:dyDescent="0.25">
      <c r="H78" s="50">
        <v>45550</v>
      </c>
      <c r="I78" s="49">
        <v>1</v>
      </c>
    </row>
    <row r="79" spans="8:9" x14ac:dyDescent="0.25">
      <c r="H79" s="50">
        <v>45551</v>
      </c>
      <c r="I79" s="49">
        <v>2</v>
      </c>
    </row>
    <row r="80" spans="8:9" x14ac:dyDescent="0.25">
      <c r="H80" s="50">
        <v>45554</v>
      </c>
      <c r="I80" s="49">
        <v>3</v>
      </c>
    </row>
    <row r="81" spans="8:9" x14ac:dyDescent="0.25">
      <c r="H81" s="50">
        <v>45559</v>
      </c>
      <c r="I81" s="49">
        <v>1</v>
      </c>
    </row>
    <row r="82" spans="8:9" x14ac:dyDescent="0.25">
      <c r="H82" s="50">
        <v>45560</v>
      </c>
      <c r="I82" s="49">
        <v>1</v>
      </c>
    </row>
    <row r="83" spans="8:9" x14ac:dyDescent="0.25">
      <c r="H83" s="50">
        <v>45563</v>
      </c>
      <c r="I83" s="49">
        <v>1</v>
      </c>
    </row>
    <row r="84" spans="8:9" x14ac:dyDescent="0.25">
      <c r="H84" s="50">
        <v>45564</v>
      </c>
      <c r="I84" s="49">
        <v>1</v>
      </c>
    </row>
    <row r="85" spans="8:9" x14ac:dyDescent="0.25">
      <c r="H85" s="50">
        <v>45566</v>
      </c>
      <c r="I85" s="49">
        <v>1</v>
      </c>
    </row>
    <row r="86" spans="8:9" x14ac:dyDescent="0.25">
      <c r="H86" s="50">
        <v>45572</v>
      </c>
      <c r="I86" s="49">
        <v>2</v>
      </c>
    </row>
    <row r="87" spans="8:9" x14ac:dyDescent="0.25">
      <c r="H87" s="50">
        <v>45573</v>
      </c>
      <c r="I87" s="49">
        <v>2</v>
      </c>
    </row>
    <row r="88" spans="8:9" x14ac:dyDescent="0.25">
      <c r="H88" s="50">
        <v>45576</v>
      </c>
      <c r="I88" s="49">
        <v>1</v>
      </c>
    </row>
    <row r="89" spans="8:9" x14ac:dyDescent="0.25">
      <c r="H89" s="50">
        <v>45579</v>
      </c>
      <c r="I89" s="49">
        <v>1</v>
      </c>
    </row>
    <row r="90" spans="8:9" x14ac:dyDescent="0.25">
      <c r="H90" s="50">
        <v>45581</v>
      </c>
      <c r="I90" s="49">
        <v>3</v>
      </c>
    </row>
    <row r="91" spans="8:9" x14ac:dyDescent="0.25">
      <c r="H91" s="50">
        <v>45583</v>
      </c>
      <c r="I91" s="49">
        <v>1</v>
      </c>
    </row>
    <row r="92" spans="8:9" x14ac:dyDescent="0.25">
      <c r="H92" s="50">
        <v>45586</v>
      </c>
      <c r="I92" s="49">
        <v>1</v>
      </c>
    </row>
    <row r="93" spans="8:9" x14ac:dyDescent="0.25">
      <c r="H93" s="50">
        <v>45588</v>
      </c>
      <c r="I93" s="49">
        <v>2</v>
      </c>
    </row>
    <row r="94" spans="8:9" x14ac:dyDescent="0.25">
      <c r="H94" s="50">
        <v>45589</v>
      </c>
      <c r="I94" s="49">
        <v>1</v>
      </c>
    </row>
    <row r="95" spans="8:9" x14ac:dyDescent="0.25">
      <c r="H95" s="50">
        <v>45592</v>
      </c>
      <c r="I95" s="49">
        <v>1</v>
      </c>
    </row>
    <row r="96" spans="8:9" x14ac:dyDescent="0.25">
      <c r="H96" s="50">
        <v>45597</v>
      </c>
      <c r="I96" s="49">
        <v>1</v>
      </c>
    </row>
    <row r="97" spans="8:9" x14ac:dyDescent="0.25">
      <c r="H97" s="50">
        <v>45600</v>
      </c>
      <c r="I97" s="49">
        <v>1</v>
      </c>
    </row>
    <row r="98" spans="8:9" x14ac:dyDescent="0.25">
      <c r="H98" s="50">
        <v>45603</v>
      </c>
      <c r="I98" s="49">
        <v>1</v>
      </c>
    </row>
    <row r="99" spans="8:9" x14ac:dyDescent="0.25">
      <c r="H99" s="50">
        <v>45604</v>
      </c>
      <c r="I99" s="49">
        <v>1</v>
      </c>
    </row>
    <row r="100" spans="8:9" x14ac:dyDescent="0.25">
      <c r="H100" s="50">
        <v>45605</v>
      </c>
      <c r="I100" s="49">
        <v>1</v>
      </c>
    </row>
    <row r="101" spans="8:9" x14ac:dyDescent="0.25">
      <c r="H101" s="50">
        <v>45607</v>
      </c>
      <c r="I101" s="49">
        <v>3</v>
      </c>
    </row>
    <row r="102" spans="8:9" x14ac:dyDescent="0.25">
      <c r="H102" s="50">
        <v>45608</v>
      </c>
      <c r="I102" s="49">
        <v>2</v>
      </c>
    </row>
    <row r="103" spans="8:9" x14ac:dyDescent="0.25">
      <c r="H103" s="50">
        <v>45613</v>
      </c>
      <c r="I103" s="49">
        <v>2</v>
      </c>
    </row>
    <row r="104" spans="8:9" x14ac:dyDescent="0.25">
      <c r="H104" s="50">
        <v>45617</v>
      </c>
      <c r="I104" s="49">
        <v>1</v>
      </c>
    </row>
    <row r="105" spans="8:9" x14ac:dyDescent="0.25">
      <c r="H105" s="50">
        <v>45619</v>
      </c>
      <c r="I105" s="49">
        <v>2</v>
      </c>
    </row>
    <row r="106" spans="8:9" x14ac:dyDescent="0.25">
      <c r="H106" s="50">
        <v>45622</v>
      </c>
      <c r="I106" s="49">
        <v>1</v>
      </c>
    </row>
    <row r="107" spans="8:9" x14ac:dyDescent="0.25">
      <c r="H107" s="50">
        <v>45623</v>
      </c>
      <c r="I107" s="49">
        <v>1</v>
      </c>
    </row>
    <row r="108" spans="8:9" x14ac:dyDescent="0.25">
      <c r="H108" s="50">
        <v>45627</v>
      </c>
      <c r="I108" s="49">
        <v>4</v>
      </c>
    </row>
    <row r="109" spans="8:9" x14ac:dyDescent="0.25">
      <c r="H109" s="50">
        <v>45629</v>
      </c>
      <c r="I109" s="49">
        <v>1</v>
      </c>
    </row>
    <row r="110" spans="8:9" x14ac:dyDescent="0.25">
      <c r="H110" s="50">
        <v>45630</v>
      </c>
      <c r="I110" s="49">
        <v>1</v>
      </c>
    </row>
    <row r="111" spans="8:9" x14ac:dyDescent="0.25">
      <c r="H111" s="50">
        <v>45635</v>
      </c>
      <c r="I111" s="49">
        <v>3</v>
      </c>
    </row>
    <row r="112" spans="8:9" x14ac:dyDescent="0.25">
      <c r="H112" s="50">
        <v>45636</v>
      </c>
      <c r="I112" s="49">
        <v>1</v>
      </c>
    </row>
    <row r="113" spans="8:9" x14ac:dyDescent="0.25">
      <c r="H113" s="50">
        <v>45638</v>
      </c>
      <c r="I113" s="49">
        <v>1</v>
      </c>
    </row>
    <row r="114" spans="8:9" x14ac:dyDescent="0.25">
      <c r="H114" s="50">
        <v>45641</v>
      </c>
      <c r="I114" s="49">
        <v>2</v>
      </c>
    </row>
    <row r="115" spans="8:9" x14ac:dyDescent="0.25">
      <c r="H115" s="50">
        <v>45644</v>
      </c>
      <c r="I115" s="49">
        <v>1</v>
      </c>
    </row>
    <row r="116" spans="8:9" x14ac:dyDescent="0.25">
      <c r="H116" s="50">
        <v>45645</v>
      </c>
      <c r="I116" s="49">
        <v>2</v>
      </c>
    </row>
    <row r="117" spans="8:9" x14ac:dyDescent="0.25">
      <c r="H117" s="50">
        <v>45646</v>
      </c>
      <c r="I117" s="49">
        <v>1</v>
      </c>
    </row>
    <row r="118" spans="8:9" x14ac:dyDescent="0.25">
      <c r="H118" s="50">
        <v>45648</v>
      </c>
      <c r="I118" s="49">
        <v>2</v>
      </c>
    </row>
    <row r="119" spans="8:9" x14ac:dyDescent="0.25">
      <c r="H119" s="50">
        <v>45649</v>
      </c>
      <c r="I119" s="49">
        <v>1</v>
      </c>
    </row>
    <row r="120" spans="8:9" x14ac:dyDescent="0.25">
      <c r="H120" s="50">
        <v>45654</v>
      </c>
      <c r="I120" s="49">
        <v>2</v>
      </c>
    </row>
    <row r="121" spans="8:9" x14ac:dyDescent="0.25">
      <c r="H121" s="50">
        <v>45655</v>
      </c>
      <c r="I121" s="49">
        <v>2</v>
      </c>
    </row>
    <row r="122" spans="8:9" x14ac:dyDescent="0.25">
      <c r="H122" s="50">
        <v>45657</v>
      </c>
      <c r="I122" s="49">
        <v>1</v>
      </c>
    </row>
    <row r="123" spans="8:9" x14ac:dyDescent="0.25">
      <c r="H123" s="50">
        <v>45660</v>
      </c>
      <c r="I123" s="49">
        <v>1</v>
      </c>
    </row>
    <row r="124" spans="8:9" x14ac:dyDescent="0.25">
      <c r="H124" s="50">
        <v>45661</v>
      </c>
      <c r="I124" s="49">
        <v>1</v>
      </c>
    </row>
    <row r="125" spans="8:9" x14ac:dyDescent="0.25">
      <c r="H125" s="50">
        <v>45663</v>
      </c>
      <c r="I125" s="49">
        <v>2</v>
      </c>
    </row>
    <row r="126" spans="8:9" x14ac:dyDescent="0.25">
      <c r="H126" s="50">
        <v>45666</v>
      </c>
      <c r="I126" s="49">
        <v>1</v>
      </c>
    </row>
    <row r="127" spans="8:9" x14ac:dyDescent="0.25">
      <c r="H127" s="50">
        <v>45667</v>
      </c>
      <c r="I127" s="49">
        <v>2</v>
      </c>
    </row>
    <row r="128" spans="8:9" x14ac:dyDescent="0.25">
      <c r="H128" s="50">
        <v>45668</v>
      </c>
      <c r="I128" s="49">
        <v>2</v>
      </c>
    </row>
    <row r="129" spans="8:9" x14ac:dyDescent="0.25">
      <c r="H129" s="50">
        <v>45670</v>
      </c>
      <c r="I129" s="49">
        <v>2</v>
      </c>
    </row>
    <row r="130" spans="8:9" x14ac:dyDescent="0.25">
      <c r="H130" s="50">
        <v>45671</v>
      </c>
      <c r="I130" s="49">
        <v>3</v>
      </c>
    </row>
    <row r="131" spans="8:9" x14ac:dyDescent="0.25">
      <c r="H131" s="50">
        <v>45673</v>
      </c>
      <c r="I131" s="49">
        <v>3</v>
      </c>
    </row>
    <row r="132" spans="8:9" x14ac:dyDescent="0.25">
      <c r="H132" s="50">
        <v>45676</v>
      </c>
      <c r="I132" s="49">
        <v>1</v>
      </c>
    </row>
    <row r="133" spans="8:9" x14ac:dyDescent="0.25">
      <c r="H133" s="50">
        <v>45682</v>
      </c>
      <c r="I133" s="49">
        <v>1</v>
      </c>
    </row>
    <row r="134" spans="8:9" x14ac:dyDescent="0.25">
      <c r="H134" s="50">
        <v>45683</v>
      </c>
      <c r="I134" s="49">
        <v>1</v>
      </c>
    </row>
    <row r="135" spans="8:9" x14ac:dyDescent="0.25">
      <c r="H135" s="50">
        <v>45686</v>
      </c>
      <c r="I135" s="49">
        <v>3</v>
      </c>
    </row>
    <row r="136" spans="8:9" x14ac:dyDescent="0.25">
      <c r="H136" s="50">
        <v>45688</v>
      </c>
      <c r="I136" s="49">
        <v>3</v>
      </c>
    </row>
    <row r="137" spans="8:9" x14ac:dyDescent="0.25">
      <c r="H137" s="50">
        <v>45692</v>
      </c>
      <c r="I137" s="49">
        <v>1</v>
      </c>
    </row>
    <row r="138" spans="8:9" x14ac:dyDescent="0.25">
      <c r="H138" s="50">
        <v>45695</v>
      </c>
      <c r="I138" s="49">
        <v>2</v>
      </c>
    </row>
    <row r="139" spans="8:9" x14ac:dyDescent="0.25">
      <c r="H139" s="50">
        <v>45696</v>
      </c>
      <c r="I139" s="49">
        <v>1</v>
      </c>
    </row>
    <row r="140" spans="8:9" x14ac:dyDescent="0.25">
      <c r="H140" s="50">
        <v>45701</v>
      </c>
      <c r="I140" s="49">
        <v>1</v>
      </c>
    </row>
    <row r="141" spans="8:9" x14ac:dyDescent="0.25">
      <c r="H141" s="50">
        <v>45704</v>
      </c>
      <c r="I141" s="49">
        <v>2</v>
      </c>
    </row>
    <row r="142" spans="8:9" x14ac:dyDescent="0.25">
      <c r="H142" s="50">
        <v>45705</v>
      </c>
      <c r="I142" s="49">
        <v>1</v>
      </c>
    </row>
    <row r="143" spans="8:9" x14ac:dyDescent="0.25">
      <c r="H143" s="50">
        <v>45707</v>
      </c>
      <c r="I143" s="49">
        <v>2</v>
      </c>
    </row>
    <row r="144" spans="8:9" x14ac:dyDescent="0.25">
      <c r="H144" s="50">
        <v>45708</v>
      </c>
      <c r="I144" s="49">
        <v>2</v>
      </c>
    </row>
    <row r="145" spans="8:9" x14ac:dyDescent="0.25">
      <c r="H145" s="50">
        <v>45710</v>
      </c>
      <c r="I145" s="49">
        <v>2</v>
      </c>
    </row>
    <row r="146" spans="8:9" x14ac:dyDescent="0.25">
      <c r="H146" s="50">
        <v>45711</v>
      </c>
      <c r="I146" s="49">
        <v>3</v>
      </c>
    </row>
    <row r="147" spans="8:9" x14ac:dyDescent="0.25">
      <c r="H147" s="50">
        <v>45712</v>
      </c>
      <c r="I147" s="49">
        <v>1</v>
      </c>
    </row>
    <row r="148" spans="8:9" x14ac:dyDescent="0.25">
      <c r="H148" s="50">
        <v>45715</v>
      </c>
      <c r="I148" s="49">
        <v>2</v>
      </c>
    </row>
    <row r="149" spans="8:9" x14ac:dyDescent="0.25">
      <c r="H149" s="50">
        <v>45718</v>
      </c>
      <c r="I149" s="49">
        <v>1</v>
      </c>
    </row>
    <row r="150" spans="8:9" x14ac:dyDescent="0.25">
      <c r="H150" s="50">
        <v>45720</v>
      </c>
      <c r="I150" s="49">
        <v>1</v>
      </c>
    </row>
    <row r="151" spans="8:9" x14ac:dyDescent="0.25">
      <c r="H151" s="50">
        <v>45721</v>
      </c>
      <c r="I151" s="49">
        <v>1</v>
      </c>
    </row>
    <row r="152" spans="8:9" x14ac:dyDescent="0.25">
      <c r="H152" s="50">
        <v>45723</v>
      </c>
      <c r="I152" s="49">
        <v>2</v>
      </c>
    </row>
    <row r="153" spans="8:9" x14ac:dyDescent="0.25">
      <c r="H153" s="50">
        <v>45724</v>
      </c>
      <c r="I153" s="49">
        <v>3</v>
      </c>
    </row>
    <row r="154" spans="8:9" x14ac:dyDescent="0.25">
      <c r="H154" s="50">
        <v>45726</v>
      </c>
      <c r="I154" s="49">
        <v>1</v>
      </c>
    </row>
    <row r="155" spans="8:9" x14ac:dyDescent="0.25">
      <c r="H155" s="50">
        <v>45734</v>
      </c>
      <c r="I155" s="49">
        <v>1</v>
      </c>
    </row>
    <row r="156" spans="8:9" x14ac:dyDescent="0.25">
      <c r="H156" s="50">
        <v>45737</v>
      </c>
      <c r="I156" s="49">
        <v>3</v>
      </c>
    </row>
    <row r="157" spans="8:9" x14ac:dyDescent="0.25">
      <c r="H157" s="50">
        <v>45739</v>
      </c>
      <c r="I157" s="49">
        <v>1</v>
      </c>
    </row>
    <row r="158" spans="8:9" x14ac:dyDescent="0.25">
      <c r="H158" s="50">
        <v>45740</v>
      </c>
      <c r="I158" s="49">
        <v>1</v>
      </c>
    </row>
    <row r="159" spans="8:9" x14ac:dyDescent="0.25">
      <c r="H159" s="50">
        <v>45743</v>
      </c>
      <c r="I159" s="49">
        <v>1</v>
      </c>
    </row>
    <row r="160" spans="8:9" x14ac:dyDescent="0.25">
      <c r="H160" s="50">
        <v>45745</v>
      </c>
      <c r="I160" s="49">
        <v>1</v>
      </c>
    </row>
    <row r="161" spans="8:9" x14ac:dyDescent="0.25">
      <c r="H161" s="50">
        <v>45746</v>
      </c>
      <c r="I161" s="49">
        <v>2</v>
      </c>
    </row>
    <row r="162" spans="8:9" x14ac:dyDescent="0.25">
      <c r="H162" s="50">
        <v>45748</v>
      </c>
      <c r="I162" s="49">
        <v>1</v>
      </c>
    </row>
    <row r="163" spans="8:9" x14ac:dyDescent="0.25">
      <c r="H163" s="50">
        <v>45749</v>
      </c>
      <c r="I163" s="49">
        <v>1</v>
      </c>
    </row>
    <row r="164" spans="8:9" x14ac:dyDescent="0.25">
      <c r="H164" s="50">
        <v>45755</v>
      </c>
      <c r="I164" s="49">
        <v>1</v>
      </c>
    </row>
    <row r="165" spans="8:9" x14ac:dyDescent="0.25">
      <c r="H165" s="50">
        <v>45756</v>
      </c>
      <c r="I165" s="49">
        <v>1</v>
      </c>
    </row>
    <row r="166" spans="8:9" x14ac:dyDescent="0.25">
      <c r="H166" s="50">
        <v>45758</v>
      </c>
      <c r="I166" s="49">
        <v>3</v>
      </c>
    </row>
  </sheetData>
  <mergeCells count="7">
    <mergeCell ref="D3:E3"/>
    <mergeCell ref="D24:E24"/>
    <mergeCell ref="A1:H1"/>
    <mergeCell ref="H3:I3"/>
    <mergeCell ref="K10:L10"/>
    <mergeCell ref="D17:E17"/>
    <mergeCell ref="K3:L3"/>
  </mergeCells>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0C95-260C-4EB1-8E19-D872BEE03B19}">
  <sheetPr>
    <outlinePr summaryBelow="0"/>
  </sheetPr>
  <dimension ref="B1:G11"/>
  <sheetViews>
    <sheetView showGridLines="0" workbookViewId="0">
      <selection activeCell="I15" sqref="I15"/>
    </sheetView>
  </sheetViews>
  <sheetFormatPr defaultRowHeight="15" outlineLevelRow="1" outlineLevelCol="1" x14ac:dyDescent="0.25"/>
  <cols>
    <col min="3" max="3" width="5.5703125" bestFit="1" customWidth="1"/>
    <col min="4" max="7" width="12.42578125" bestFit="1" customWidth="1" outlineLevel="1"/>
  </cols>
  <sheetData>
    <row r="1" spans="2:7" ht="15.75" thickBot="1" x14ac:dyDescent="0.3"/>
    <row r="2" spans="2:7" ht="15.75" x14ac:dyDescent="0.25">
      <c r="B2" s="38" t="s">
        <v>469</v>
      </c>
      <c r="C2" s="38"/>
      <c r="D2" s="39"/>
      <c r="E2" s="39"/>
      <c r="F2" s="39"/>
      <c r="G2" s="39"/>
    </row>
    <row r="3" spans="2:7" ht="15.75" collapsed="1" x14ac:dyDescent="0.25">
      <c r="B3" s="40"/>
      <c r="C3" s="40"/>
      <c r="D3" s="41" t="s">
        <v>471</v>
      </c>
      <c r="E3" s="41" t="s">
        <v>476</v>
      </c>
      <c r="F3" s="41" t="s">
        <v>477</v>
      </c>
      <c r="G3" s="41" t="s">
        <v>479</v>
      </c>
    </row>
    <row r="4" spans="2:7" ht="67.5" hidden="1" outlineLevel="1" x14ac:dyDescent="0.25">
      <c r="B4" s="31"/>
      <c r="C4" s="31"/>
      <c r="D4" s="28"/>
      <c r="E4" s="35" t="s">
        <v>478</v>
      </c>
      <c r="F4" s="35" t="s">
        <v>478</v>
      </c>
      <c r="G4" s="35" t="s">
        <v>468</v>
      </c>
    </row>
    <row r="5" spans="2:7" x14ac:dyDescent="0.25">
      <c r="B5" s="32" t="s">
        <v>470</v>
      </c>
      <c r="C5" s="32"/>
      <c r="D5" s="29"/>
      <c r="E5" s="29"/>
      <c r="F5" s="29"/>
      <c r="G5" s="29"/>
    </row>
    <row r="6" spans="2:7" outlineLevel="1" x14ac:dyDescent="0.25">
      <c r="B6" s="31"/>
      <c r="C6" s="31" t="s">
        <v>467</v>
      </c>
      <c r="D6" s="30">
        <v>0.2</v>
      </c>
      <c r="E6" s="34">
        <v>0.2</v>
      </c>
      <c r="F6" s="34">
        <v>0.1</v>
      </c>
      <c r="G6" s="34">
        <v>-0.1</v>
      </c>
    </row>
    <row r="7" spans="2:7" x14ac:dyDescent="0.25">
      <c r="B7" s="32" t="s">
        <v>472</v>
      </c>
      <c r="C7" s="32"/>
      <c r="D7" s="29"/>
      <c r="E7" s="29"/>
      <c r="F7" s="29"/>
      <c r="G7" s="29"/>
    </row>
    <row r="8" spans="2:7" ht="15.75" outlineLevel="1" thickBot="1" x14ac:dyDescent="0.3">
      <c r="B8" s="33"/>
      <c r="C8" s="33" t="s">
        <v>466</v>
      </c>
      <c r="D8" s="36">
        <v>275030.96400000103</v>
      </c>
      <c r="E8" s="36">
        <v>275030.96400000103</v>
      </c>
      <c r="F8" s="36">
        <v>252111.717</v>
      </c>
      <c r="G8" s="36">
        <v>206273.223</v>
      </c>
    </row>
    <row r="9" spans="2:7" x14ac:dyDescent="0.25">
      <c r="B9" t="s">
        <v>473</v>
      </c>
    </row>
    <row r="10" spans="2:7" x14ac:dyDescent="0.25">
      <c r="B10" t="s">
        <v>474</v>
      </c>
    </row>
    <row r="11" spans="2:7" x14ac:dyDescent="0.25">
      <c r="B11" t="s">
        <v>475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BA27-079A-4C23-B93B-A30E596E6AB9}">
  <dimension ref="A1:O251"/>
  <sheetViews>
    <sheetView workbookViewId="0">
      <selection activeCell="F20" sqref="F20"/>
    </sheetView>
  </sheetViews>
  <sheetFormatPr defaultRowHeight="15" x14ac:dyDescent="0.25"/>
  <cols>
    <col min="1" max="1" width="14.140625" bestFit="1" customWidth="1"/>
    <col min="2" max="3" width="17.140625" customWidth="1"/>
    <col min="4" max="4" width="18.5703125" customWidth="1"/>
    <col min="5" max="5" width="23.7109375" customWidth="1"/>
    <col min="6" max="6" width="16.5703125" customWidth="1"/>
    <col min="7" max="7" width="19.42578125" customWidth="1"/>
    <col min="8" max="8" width="14.140625" customWidth="1"/>
    <col min="9" max="9" width="12.42578125" customWidth="1"/>
    <col min="10" max="10" width="15.140625" customWidth="1"/>
    <col min="11" max="11" width="20.85546875" customWidth="1"/>
    <col min="12" max="12" width="13" customWidth="1"/>
    <col min="13" max="13" width="26.28515625" customWidth="1"/>
    <col min="14" max="14" width="19.42578125" customWidth="1"/>
    <col min="15" max="15" width="18.140625" customWidth="1"/>
  </cols>
  <sheetData>
    <row r="1" spans="1:15" x14ac:dyDescent="0.25">
      <c r="A1" s="56" t="s">
        <v>0</v>
      </c>
      <c r="B1" s="56" t="s">
        <v>1</v>
      </c>
      <c r="C1" s="56" t="s">
        <v>445</v>
      </c>
      <c r="D1" s="56" t="s">
        <v>2</v>
      </c>
      <c r="E1" s="56" t="s">
        <v>3</v>
      </c>
      <c r="F1" s="56" t="s">
        <v>4</v>
      </c>
      <c r="G1" s="56" t="s">
        <v>5</v>
      </c>
      <c r="H1" s="56" t="s">
        <v>6</v>
      </c>
      <c r="I1" s="56" t="s">
        <v>7</v>
      </c>
      <c r="J1" s="56" t="s">
        <v>8</v>
      </c>
      <c r="K1" s="56" t="s">
        <v>9</v>
      </c>
      <c r="L1" s="56" t="s">
        <v>10</v>
      </c>
      <c r="M1" s="56" t="s">
        <v>11</v>
      </c>
      <c r="N1" s="56" t="s">
        <v>12</v>
      </c>
      <c r="O1" s="56" t="s">
        <v>13</v>
      </c>
    </row>
    <row r="2" spans="1:15" x14ac:dyDescent="0.25">
      <c r="A2" s="57" t="s">
        <v>225</v>
      </c>
      <c r="B2" s="58">
        <v>45528</v>
      </c>
      <c r="C2" s="58" t="str">
        <f>TEXT(B2,"mmmm")</f>
        <v>August</v>
      </c>
      <c r="D2" s="57" t="s">
        <v>226</v>
      </c>
      <c r="E2" s="57" t="s">
        <v>227</v>
      </c>
      <c r="F2" s="57" t="s">
        <v>114</v>
      </c>
      <c r="G2" s="57" t="s">
        <v>115</v>
      </c>
      <c r="H2" s="57" t="s">
        <v>33</v>
      </c>
      <c r="I2" s="57">
        <v>3</v>
      </c>
      <c r="J2" s="57">
        <v>79.989999999999995</v>
      </c>
      <c r="K2" s="57" t="s">
        <v>20</v>
      </c>
      <c r="L2" s="57" t="s">
        <v>21</v>
      </c>
      <c r="M2" s="57" t="s">
        <v>27</v>
      </c>
      <c r="N2" s="58">
        <v>44779</v>
      </c>
      <c r="O2" s="57">
        <v>239.97</v>
      </c>
    </row>
    <row r="3" spans="1:15" x14ac:dyDescent="0.25">
      <c r="A3" s="57" t="s">
        <v>207</v>
      </c>
      <c r="B3" s="58">
        <v>45501</v>
      </c>
      <c r="C3" s="58" t="str">
        <f t="shared" ref="C3:C66" si="0">TEXT(B3,"mmmm")</f>
        <v>July</v>
      </c>
      <c r="D3" s="57" t="s">
        <v>147</v>
      </c>
      <c r="E3" s="57" t="s">
        <v>148</v>
      </c>
      <c r="F3" s="57" t="s">
        <v>105</v>
      </c>
      <c r="G3" s="57" t="s">
        <v>106</v>
      </c>
      <c r="H3" s="57" t="s">
        <v>46</v>
      </c>
      <c r="I3" s="57">
        <v>3</v>
      </c>
      <c r="J3" s="57">
        <v>299.99</v>
      </c>
      <c r="K3" s="57" t="s">
        <v>20</v>
      </c>
      <c r="L3" s="57" t="s">
        <v>21</v>
      </c>
      <c r="M3" s="57" t="s">
        <v>22</v>
      </c>
      <c r="N3" s="58">
        <v>44732</v>
      </c>
      <c r="O3" s="57">
        <v>899.97</v>
      </c>
    </row>
    <row r="4" spans="1:15" x14ac:dyDescent="0.25">
      <c r="A4" s="57" t="s">
        <v>381</v>
      </c>
      <c r="B4" s="58">
        <v>45737</v>
      </c>
      <c r="C4" s="58" t="str">
        <f t="shared" si="0"/>
        <v>March</v>
      </c>
      <c r="D4" s="57" t="s">
        <v>132</v>
      </c>
      <c r="E4" s="57" t="s">
        <v>133</v>
      </c>
      <c r="F4" s="57" t="s">
        <v>44</v>
      </c>
      <c r="G4" s="57" t="s">
        <v>45</v>
      </c>
      <c r="H4" s="57" t="s">
        <v>46</v>
      </c>
      <c r="I4" s="57">
        <v>2</v>
      </c>
      <c r="J4" s="57">
        <v>149.99</v>
      </c>
      <c r="K4" s="57" t="s">
        <v>20</v>
      </c>
      <c r="L4" s="57" t="s">
        <v>50</v>
      </c>
      <c r="M4" s="57" t="s">
        <v>27</v>
      </c>
      <c r="N4" s="58">
        <v>45233</v>
      </c>
      <c r="O4" s="57">
        <v>299.98</v>
      </c>
    </row>
    <row r="5" spans="1:15" x14ac:dyDescent="0.25">
      <c r="A5" s="57" t="s">
        <v>116</v>
      </c>
      <c r="B5" s="58">
        <v>45424</v>
      </c>
      <c r="C5" s="58" t="str">
        <f t="shared" si="0"/>
        <v>May</v>
      </c>
      <c r="D5" s="57" t="s">
        <v>99</v>
      </c>
      <c r="E5" s="57" t="s">
        <v>100</v>
      </c>
      <c r="F5" s="57" t="s">
        <v>117</v>
      </c>
      <c r="G5" s="57" t="s">
        <v>118</v>
      </c>
      <c r="H5" s="57" t="s">
        <v>19</v>
      </c>
      <c r="I5" s="57">
        <v>5</v>
      </c>
      <c r="J5" s="57">
        <v>89.99</v>
      </c>
      <c r="K5" s="57" t="s">
        <v>20</v>
      </c>
      <c r="L5" s="57" t="s">
        <v>40</v>
      </c>
      <c r="M5" s="57" t="s">
        <v>27</v>
      </c>
      <c r="N5" s="58">
        <v>44919</v>
      </c>
      <c r="O5" s="57">
        <v>449.95</v>
      </c>
    </row>
    <row r="6" spans="1:15" x14ac:dyDescent="0.25">
      <c r="A6" s="57" t="s">
        <v>245</v>
      </c>
      <c r="B6" s="58">
        <v>45550</v>
      </c>
      <c r="C6" s="58" t="str">
        <f t="shared" si="0"/>
        <v>September</v>
      </c>
      <c r="D6" s="57" t="s">
        <v>246</v>
      </c>
      <c r="E6" s="57" t="s">
        <v>247</v>
      </c>
      <c r="F6" s="57" t="s">
        <v>52</v>
      </c>
      <c r="G6" s="57" t="s">
        <v>53</v>
      </c>
      <c r="H6" s="57" t="s">
        <v>19</v>
      </c>
      <c r="I6" s="57">
        <v>4</v>
      </c>
      <c r="J6" s="57">
        <v>149.99</v>
      </c>
      <c r="K6" s="57" t="s">
        <v>20</v>
      </c>
      <c r="L6" s="57" t="s">
        <v>40</v>
      </c>
      <c r="M6" s="57" t="s">
        <v>22</v>
      </c>
      <c r="N6" s="58">
        <v>44909</v>
      </c>
      <c r="O6" s="57">
        <v>599.96</v>
      </c>
    </row>
    <row r="7" spans="1:15" x14ac:dyDescent="0.25">
      <c r="A7" s="57" t="s">
        <v>202</v>
      </c>
      <c r="B7" s="58">
        <v>45498</v>
      </c>
      <c r="C7" s="58" t="str">
        <f t="shared" si="0"/>
        <v>July</v>
      </c>
      <c r="D7" s="57" t="s">
        <v>182</v>
      </c>
      <c r="E7" s="57" t="s">
        <v>183</v>
      </c>
      <c r="F7" s="57" t="s">
        <v>31</v>
      </c>
      <c r="G7" s="57" t="s">
        <v>32</v>
      </c>
      <c r="H7" s="57" t="s">
        <v>33</v>
      </c>
      <c r="I7" s="57">
        <v>2</v>
      </c>
      <c r="J7" s="57">
        <v>59.99</v>
      </c>
      <c r="K7" s="57" t="s">
        <v>20</v>
      </c>
      <c r="L7" s="57" t="s">
        <v>40</v>
      </c>
      <c r="M7" s="57" t="s">
        <v>36</v>
      </c>
      <c r="N7" s="58">
        <v>45152</v>
      </c>
      <c r="O7" s="57">
        <v>119.98</v>
      </c>
    </row>
    <row r="8" spans="1:15" x14ac:dyDescent="0.25">
      <c r="A8" s="57" t="s">
        <v>174</v>
      </c>
      <c r="B8" s="58">
        <v>45469</v>
      </c>
      <c r="C8" s="58" t="str">
        <f t="shared" si="0"/>
        <v>June</v>
      </c>
      <c r="D8" s="57" t="s">
        <v>59</v>
      </c>
      <c r="E8" s="57" t="s">
        <v>60</v>
      </c>
      <c r="F8" s="57" t="s">
        <v>117</v>
      </c>
      <c r="G8" s="57" t="s">
        <v>118</v>
      </c>
      <c r="H8" s="57" t="s">
        <v>19</v>
      </c>
      <c r="I8" s="57">
        <v>2</v>
      </c>
      <c r="J8" s="57">
        <v>89.99</v>
      </c>
      <c r="K8" s="57" t="s">
        <v>20</v>
      </c>
      <c r="L8" s="57" t="s">
        <v>50</v>
      </c>
      <c r="M8" s="57" t="s">
        <v>22</v>
      </c>
      <c r="N8" s="58">
        <v>44438</v>
      </c>
      <c r="O8" s="57">
        <v>179.98</v>
      </c>
    </row>
    <row r="9" spans="1:15" x14ac:dyDescent="0.25">
      <c r="A9" s="57" t="s">
        <v>316</v>
      </c>
      <c r="B9" s="58">
        <v>45648</v>
      </c>
      <c r="C9" s="58" t="str">
        <f t="shared" si="0"/>
        <v>December</v>
      </c>
      <c r="D9" s="57" t="s">
        <v>182</v>
      </c>
      <c r="E9" s="57" t="s">
        <v>183</v>
      </c>
      <c r="F9" s="57" t="s">
        <v>44</v>
      </c>
      <c r="G9" s="57" t="s">
        <v>45</v>
      </c>
      <c r="H9" s="57" t="s">
        <v>46</v>
      </c>
      <c r="I9" s="57">
        <v>3</v>
      </c>
      <c r="J9" s="57">
        <v>149.99</v>
      </c>
      <c r="K9" s="57" t="s">
        <v>57</v>
      </c>
      <c r="L9" s="57" t="s">
        <v>40</v>
      </c>
      <c r="M9" s="57" t="s">
        <v>36</v>
      </c>
      <c r="N9" s="58">
        <v>44522</v>
      </c>
      <c r="O9" s="57">
        <v>449.97</v>
      </c>
    </row>
    <row r="10" spans="1:15" x14ac:dyDescent="0.25">
      <c r="A10" s="57" t="s">
        <v>274</v>
      </c>
      <c r="B10" s="58">
        <v>45588</v>
      </c>
      <c r="C10" s="58" t="str">
        <f t="shared" si="0"/>
        <v>October</v>
      </c>
      <c r="D10" s="57" t="s">
        <v>154</v>
      </c>
      <c r="E10" s="57" t="s">
        <v>155</v>
      </c>
      <c r="F10" s="57" t="s">
        <v>80</v>
      </c>
      <c r="G10" s="57" t="s">
        <v>81</v>
      </c>
      <c r="H10" s="57" t="s">
        <v>19</v>
      </c>
      <c r="I10" s="57">
        <v>2</v>
      </c>
      <c r="J10" s="57">
        <v>699.99</v>
      </c>
      <c r="K10" s="57" t="s">
        <v>20</v>
      </c>
      <c r="L10" s="57" t="s">
        <v>21</v>
      </c>
      <c r="M10" s="57" t="s">
        <v>22</v>
      </c>
      <c r="N10" s="58">
        <v>44992</v>
      </c>
      <c r="O10" s="57">
        <v>1399.98</v>
      </c>
    </row>
    <row r="11" spans="1:15" x14ac:dyDescent="0.25">
      <c r="A11" s="57" t="s">
        <v>348</v>
      </c>
      <c r="B11" s="58">
        <v>45688</v>
      </c>
      <c r="C11" s="58" t="str">
        <f t="shared" si="0"/>
        <v>January</v>
      </c>
      <c r="D11" s="57" t="s">
        <v>65</v>
      </c>
      <c r="E11" s="57" t="s">
        <v>66</v>
      </c>
      <c r="F11" s="57" t="s">
        <v>80</v>
      </c>
      <c r="G11" s="57" t="s">
        <v>81</v>
      </c>
      <c r="H11" s="57" t="s">
        <v>19</v>
      </c>
      <c r="I11" s="57">
        <v>4</v>
      </c>
      <c r="J11" s="57">
        <v>699.99</v>
      </c>
      <c r="K11" s="57" t="s">
        <v>57</v>
      </c>
      <c r="L11" s="57" t="s">
        <v>50</v>
      </c>
      <c r="M11" s="57" t="s">
        <v>27</v>
      </c>
      <c r="N11" s="58">
        <v>44692</v>
      </c>
      <c r="O11" s="57">
        <v>2799.96</v>
      </c>
    </row>
    <row r="12" spans="1:15" x14ac:dyDescent="0.25">
      <c r="A12" s="57" t="s">
        <v>354</v>
      </c>
      <c r="B12" s="58">
        <v>45696</v>
      </c>
      <c r="C12" s="58" t="str">
        <f t="shared" si="0"/>
        <v>February</v>
      </c>
      <c r="D12" s="57" t="s">
        <v>150</v>
      </c>
      <c r="E12" s="57" t="s">
        <v>151</v>
      </c>
      <c r="F12" s="57" t="s">
        <v>31</v>
      </c>
      <c r="G12" s="57" t="s">
        <v>32</v>
      </c>
      <c r="H12" s="57" t="s">
        <v>33</v>
      </c>
      <c r="I12" s="57">
        <v>5</v>
      </c>
      <c r="J12" s="57">
        <v>59.99</v>
      </c>
      <c r="K12" s="57" t="s">
        <v>57</v>
      </c>
      <c r="L12" s="57" t="s">
        <v>21</v>
      </c>
      <c r="M12" s="57" t="s">
        <v>36</v>
      </c>
      <c r="N12" s="58">
        <v>45177</v>
      </c>
      <c r="O12" s="57">
        <v>299.95</v>
      </c>
    </row>
    <row r="13" spans="1:15" x14ac:dyDescent="0.25">
      <c r="A13" s="57" t="s">
        <v>292</v>
      </c>
      <c r="B13" s="58">
        <v>45622</v>
      </c>
      <c r="C13" s="58" t="str">
        <f t="shared" si="0"/>
        <v>November</v>
      </c>
      <c r="D13" s="57" t="s">
        <v>293</v>
      </c>
      <c r="E13" s="57" t="s">
        <v>294</v>
      </c>
      <c r="F13" s="57" t="s">
        <v>17</v>
      </c>
      <c r="G13" s="57" t="s">
        <v>18</v>
      </c>
      <c r="H13" s="57" t="s">
        <v>19</v>
      </c>
      <c r="I13" s="57">
        <v>5</v>
      </c>
      <c r="J13" s="57">
        <v>249.99</v>
      </c>
      <c r="K13" s="57" t="s">
        <v>26</v>
      </c>
      <c r="L13" s="57" t="s">
        <v>40</v>
      </c>
      <c r="M13" s="57" t="s">
        <v>22</v>
      </c>
      <c r="N13" s="58">
        <v>44873</v>
      </c>
      <c r="O13" s="57">
        <v>1249.95</v>
      </c>
    </row>
    <row r="14" spans="1:15" x14ac:dyDescent="0.25">
      <c r="A14" s="57" t="s">
        <v>383</v>
      </c>
      <c r="B14" s="58">
        <v>45737</v>
      </c>
      <c r="C14" s="58" t="str">
        <f t="shared" si="0"/>
        <v>March</v>
      </c>
      <c r="D14" s="57" t="s">
        <v>48</v>
      </c>
      <c r="E14" s="57" t="s">
        <v>49</v>
      </c>
      <c r="F14" s="57" t="s">
        <v>61</v>
      </c>
      <c r="G14" s="57" t="s">
        <v>62</v>
      </c>
      <c r="H14" s="57" t="s">
        <v>19</v>
      </c>
      <c r="I14" s="57">
        <v>3</v>
      </c>
      <c r="J14" s="57">
        <v>899.99</v>
      </c>
      <c r="K14" s="57" t="s">
        <v>34</v>
      </c>
      <c r="L14" s="57" t="s">
        <v>40</v>
      </c>
      <c r="M14" s="57" t="s">
        <v>22</v>
      </c>
      <c r="N14" s="58">
        <v>44975</v>
      </c>
      <c r="O14" s="57">
        <v>2699.97</v>
      </c>
    </row>
    <row r="15" spans="1:15" x14ac:dyDescent="0.25">
      <c r="A15" s="57" t="s">
        <v>380</v>
      </c>
      <c r="B15" s="58">
        <v>45734</v>
      </c>
      <c r="C15" s="58" t="str">
        <f t="shared" si="0"/>
        <v>March</v>
      </c>
      <c r="D15" s="57" t="s">
        <v>192</v>
      </c>
      <c r="E15" s="57" t="s">
        <v>193</v>
      </c>
      <c r="F15" s="57" t="s">
        <v>31</v>
      </c>
      <c r="G15" s="57" t="s">
        <v>32</v>
      </c>
      <c r="H15" s="57" t="s">
        <v>33</v>
      </c>
      <c r="I15" s="57">
        <v>2</v>
      </c>
      <c r="J15" s="57">
        <v>59.99</v>
      </c>
      <c r="K15" s="57" t="s">
        <v>26</v>
      </c>
      <c r="L15" s="57" t="s">
        <v>50</v>
      </c>
      <c r="M15" s="57" t="s">
        <v>22</v>
      </c>
      <c r="N15" s="58">
        <v>45193</v>
      </c>
      <c r="O15" s="57">
        <v>119.98</v>
      </c>
    </row>
    <row r="16" spans="1:15" x14ac:dyDescent="0.25">
      <c r="A16" s="57" t="s">
        <v>140</v>
      </c>
      <c r="B16" s="58">
        <v>45440</v>
      </c>
      <c r="C16" s="58" t="str">
        <f t="shared" si="0"/>
        <v>May</v>
      </c>
      <c r="D16" s="57" t="s">
        <v>141</v>
      </c>
      <c r="E16" s="57" t="s">
        <v>142</v>
      </c>
      <c r="F16" s="57" t="s">
        <v>80</v>
      </c>
      <c r="G16" s="57" t="s">
        <v>81</v>
      </c>
      <c r="H16" s="57" t="s">
        <v>19</v>
      </c>
      <c r="I16" s="57">
        <v>5</v>
      </c>
      <c r="J16" s="57">
        <v>699.99</v>
      </c>
      <c r="K16" s="57" t="s">
        <v>34</v>
      </c>
      <c r="L16" s="57" t="s">
        <v>50</v>
      </c>
      <c r="M16" s="57" t="s">
        <v>36</v>
      </c>
      <c r="N16" s="58">
        <v>44407</v>
      </c>
      <c r="O16" s="57">
        <v>3499.95</v>
      </c>
    </row>
    <row r="17" spans="1:15" x14ac:dyDescent="0.25">
      <c r="A17" s="57" t="s">
        <v>377</v>
      </c>
      <c r="B17" s="58">
        <v>45724</v>
      </c>
      <c r="C17" s="58" t="str">
        <f t="shared" si="0"/>
        <v>March</v>
      </c>
      <c r="D17" s="57" t="s">
        <v>144</v>
      </c>
      <c r="E17" s="57" t="s">
        <v>145</v>
      </c>
      <c r="F17" s="57" t="s">
        <v>61</v>
      </c>
      <c r="G17" s="57" t="s">
        <v>62</v>
      </c>
      <c r="H17" s="57" t="s">
        <v>19</v>
      </c>
      <c r="I17" s="57">
        <v>5</v>
      </c>
      <c r="J17" s="57">
        <v>899.99</v>
      </c>
      <c r="K17" s="57" t="s">
        <v>34</v>
      </c>
      <c r="L17" s="57" t="s">
        <v>63</v>
      </c>
      <c r="M17" s="57" t="s">
        <v>27</v>
      </c>
      <c r="N17" s="58">
        <v>45389</v>
      </c>
      <c r="O17" s="57">
        <v>4499.95</v>
      </c>
    </row>
    <row r="18" spans="1:15" x14ac:dyDescent="0.25">
      <c r="A18" s="57" t="s">
        <v>278</v>
      </c>
      <c r="B18" s="58">
        <v>45600</v>
      </c>
      <c r="C18" s="58" t="str">
        <f t="shared" si="0"/>
        <v>November</v>
      </c>
      <c r="D18" s="57" t="s">
        <v>65</v>
      </c>
      <c r="E18" s="57" t="s">
        <v>66</v>
      </c>
      <c r="F18" s="57" t="s">
        <v>105</v>
      </c>
      <c r="G18" s="57" t="s">
        <v>106</v>
      </c>
      <c r="H18" s="57" t="s">
        <v>46</v>
      </c>
      <c r="I18" s="57">
        <v>3</v>
      </c>
      <c r="J18" s="57">
        <v>299.99</v>
      </c>
      <c r="K18" s="57" t="s">
        <v>26</v>
      </c>
      <c r="L18" s="57" t="s">
        <v>35</v>
      </c>
      <c r="M18" s="57" t="s">
        <v>36</v>
      </c>
      <c r="N18" s="58">
        <v>44502</v>
      </c>
      <c r="O18" s="57">
        <v>899.97</v>
      </c>
    </row>
    <row r="19" spans="1:15" x14ac:dyDescent="0.25">
      <c r="A19" s="57" t="s">
        <v>190</v>
      </c>
      <c r="B19" s="58">
        <v>45484</v>
      </c>
      <c r="C19" s="58" t="str">
        <f t="shared" si="0"/>
        <v>July</v>
      </c>
      <c r="D19" s="57" t="s">
        <v>24</v>
      </c>
      <c r="E19" s="57" t="s">
        <v>25</v>
      </c>
      <c r="F19" s="57" t="s">
        <v>52</v>
      </c>
      <c r="G19" s="57" t="s">
        <v>53</v>
      </c>
      <c r="H19" s="57" t="s">
        <v>19</v>
      </c>
      <c r="I19" s="57">
        <v>1</v>
      </c>
      <c r="J19" s="57">
        <v>149.99</v>
      </c>
      <c r="K19" s="57" t="s">
        <v>20</v>
      </c>
      <c r="L19" s="57" t="s">
        <v>21</v>
      </c>
      <c r="M19" s="57" t="s">
        <v>36</v>
      </c>
      <c r="N19" s="58">
        <v>44909</v>
      </c>
      <c r="O19" s="57">
        <v>149.99</v>
      </c>
    </row>
    <row r="20" spans="1:15" x14ac:dyDescent="0.25">
      <c r="A20" s="57" t="s">
        <v>384</v>
      </c>
      <c r="B20" s="58">
        <v>45739</v>
      </c>
      <c r="C20" s="58" t="str">
        <f t="shared" si="0"/>
        <v>March</v>
      </c>
      <c r="D20" s="57" t="s">
        <v>15</v>
      </c>
      <c r="E20" s="57" t="s">
        <v>16</v>
      </c>
      <c r="F20" s="57" t="s">
        <v>105</v>
      </c>
      <c r="G20" s="57" t="s">
        <v>106</v>
      </c>
      <c r="H20" s="57" t="s">
        <v>46</v>
      </c>
      <c r="I20" s="57">
        <v>3</v>
      </c>
      <c r="J20" s="57">
        <v>299.99</v>
      </c>
      <c r="K20" s="57" t="s">
        <v>26</v>
      </c>
      <c r="L20" s="57" t="s">
        <v>50</v>
      </c>
      <c r="M20" s="57" t="s">
        <v>27</v>
      </c>
      <c r="N20" s="58">
        <v>45234</v>
      </c>
      <c r="O20" s="57">
        <v>899.97</v>
      </c>
    </row>
    <row r="21" spans="1:15" x14ac:dyDescent="0.25">
      <c r="A21" s="57" t="s">
        <v>216</v>
      </c>
      <c r="B21" s="58">
        <v>45517</v>
      </c>
      <c r="C21" s="58" t="str">
        <f t="shared" si="0"/>
        <v>August</v>
      </c>
      <c r="D21" s="57" t="s">
        <v>182</v>
      </c>
      <c r="E21" s="57" t="s">
        <v>183</v>
      </c>
      <c r="F21" s="57" t="s">
        <v>52</v>
      </c>
      <c r="G21" s="57" t="s">
        <v>53</v>
      </c>
      <c r="H21" s="57" t="s">
        <v>19</v>
      </c>
      <c r="I21" s="57">
        <v>4</v>
      </c>
      <c r="J21" s="57">
        <v>149.99</v>
      </c>
      <c r="K21" s="57" t="s">
        <v>57</v>
      </c>
      <c r="L21" s="57" t="s">
        <v>35</v>
      </c>
      <c r="M21" s="57" t="s">
        <v>27</v>
      </c>
      <c r="N21" s="58">
        <v>44820</v>
      </c>
      <c r="O21" s="57">
        <v>599.96</v>
      </c>
    </row>
    <row r="22" spans="1:15" x14ac:dyDescent="0.25">
      <c r="A22" s="57" t="s">
        <v>136</v>
      </c>
      <c r="B22" s="58">
        <v>45435</v>
      </c>
      <c r="C22" s="58" t="str">
        <f t="shared" si="0"/>
        <v>May</v>
      </c>
      <c r="D22" s="57" t="s">
        <v>129</v>
      </c>
      <c r="E22" s="57" t="s">
        <v>130</v>
      </c>
      <c r="F22" s="57" t="s">
        <v>114</v>
      </c>
      <c r="G22" s="57" t="s">
        <v>115</v>
      </c>
      <c r="H22" s="57" t="s">
        <v>33</v>
      </c>
      <c r="I22" s="57">
        <v>3</v>
      </c>
      <c r="J22" s="57">
        <v>79.989999999999995</v>
      </c>
      <c r="K22" s="57" t="s">
        <v>20</v>
      </c>
      <c r="L22" s="57" t="s">
        <v>35</v>
      </c>
      <c r="M22" s="57" t="s">
        <v>22</v>
      </c>
      <c r="N22" s="58">
        <v>45046</v>
      </c>
      <c r="O22" s="57">
        <v>239.97</v>
      </c>
    </row>
    <row r="23" spans="1:15" x14ac:dyDescent="0.25">
      <c r="A23" s="57" t="s">
        <v>335</v>
      </c>
      <c r="B23" s="58">
        <v>45670</v>
      </c>
      <c r="C23" s="58" t="str">
        <f t="shared" si="0"/>
        <v>January</v>
      </c>
      <c r="D23" s="57" t="s">
        <v>86</v>
      </c>
      <c r="E23" s="57" t="s">
        <v>87</v>
      </c>
      <c r="F23" s="57" t="s">
        <v>105</v>
      </c>
      <c r="G23" s="57" t="s">
        <v>106</v>
      </c>
      <c r="H23" s="57" t="s">
        <v>46</v>
      </c>
      <c r="I23" s="57">
        <v>1</v>
      </c>
      <c r="J23" s="57">
        <v>299.99</v>
      </c>
      <c r="K23" s="57" t="s">
        <v>26</v>
      </c>
      <c r="L23" s="57" t="s">
        <v>40</v>
      </c>
      <c r="M23" s="57" t="s">
        <v>22</v>
      </c>
      <c r="N23" s="58">
        <v>44436</v>
      </c>
      <c r="O23" s="57">
        <v>299.99</v>
      </c>
    </row>
    <row r="24" spans="1:15" x14ac:dyDescent="0.25">
      <c r="A24" s="57" t="s">
        <v>23</v>
      </c>
      <c r="B24" s="58">
        <v>45396</v>
      </c>
      <c r="C24" s="58" t="str">
        <f t="shared" si="0"/>
        <v>April</v>
      </c>
      <c r="D24" s="57" t="s">
        <v>24</v>
      </c>
      <c r="E24" s="57" t="s">
        <v>25</v>
      </c>
      <c r="F24" s="57" t="s">
        <v>17</v>
      </c>
      <c r="G24" s="57" t="s">
        <v>18</v>
      </c>
      <c r="H24" s="57" t="s">
        <v>19</v>
      </c>
      <c r="I24" s="57">
        <v>3</v>
      </c>
      <c r="J24" s="57">
        <v>249.99</v>
      </c>
      <c r="K24" s="57" t="s">
        <v>26</v>
      </c>
      <c r="L24" s="57" t="s">
        <v>21</v>
      </c>
      <c r="M24" s="57" t="s">
        <v>27</v>
      </c>
      <c r="N24" s="58">
        <v>44575</v>
      </c>
      <c r="O24" s="57">
        <v>749.97</v>
      </c>
    </row>
    <row r="25" spans="1:15" x14ac:dyDescent="0.25">
      <c r="A25" s="57" t="s">
        <v>352</v>
      </c>
      <c r="B25" s="58">
        <v>45695</v>
      </c>
      <c r="C25" s="58" t="str">
        <f t="shared" si="0"/>
        <v>February</v>
      </c>
      <c r="D25" s="57" t="s">
        <v>246</v>
      </c>
      <c r="E25" s="57" t="s">
        <v>247</v>
      </c>
      <c r="F25" s="57" t="s">
        <v>44</v>
      </c>
      <c r="G25" s="57" t="s">
        <v>45</v>
      </c>
      <c r="H25" s="57" t="s">
        <v>46</v>
      </c>
      <c r="I25" s="57">
        <v>3</v>
      </c>
      <c r="J25" s="57">
        <v>149.99</v>
      </c>
      <c r="K25" s="57" t="s">
        <v>57</v>
      </c>
      <c r="L25" s="57" t="s">
        <v>40</v>
      </c>
      <c r="M25" s="57" t="s">
        <v>27</v>
      </c>
      <c r="N25" s="58">
        <v>44564</v>
      </c>
      <c r="O25" s="57">
        <v>449.97</v>
      </c>
    </row>
    <row r="26" spans="1:15" x14ac:dyDescent="0.25">
      <c r="A26" s="57" t="s">
        <v>170</v>
      </c>
      <c r="B26" s="58">
        <v>45468</v>
      </c>
      <c r="C26" s="58" t="str">
        <f t="shared" si="0"/>
        <v>June</v>
      </c>
      <c r="D26" s="57" t="s">
        <v>171</v>
      </c>
      <c r="E26" s="57" t="s">
        <v>172</v>
      </c>
      <c r="F26" s="57" t="s">
        <v>117</v>
      </c>
      <c r="G26" s="57" t="s">
        <v>118</v>
      </c>
      <c r="H26" s="57" t="s">
        <v>19</v>
      </c>
      <c r="I26" s="57">
        <v>4</v>
      </c>
      <c r="J26" s="57">
        <v>89.99</v>
      </c>
      <c r="K26" s="57" t="s">
        <v>57</v>
      </c>
      <c r="L26" s="57" t="s">
        <v>35</v>
      </c>
      <c r="M26" s="57" t="s">
        <v>22</v>
      </c>
      <c r="N26" s="58">
        <v>45281</v>
      </c>
      <c r="O26" s="57">
        <v>359.96</v>
      </c>
    </row>
    <row r="27" spans="1:15" x14ac:dyDescent="0.25">
      <c r="A27" s="57" t="s">
        <v>324</v>
      </c>
      <c r="B27" s="58">
        <v>45661</v>
      </c>
      <c r="C27" s="58" t="str">
        <f t="shared" si="0"/>
        <v>January</v>
      </c>
      <c r="D27" s="57" t="s">
        <v>325</v>
      </c>
      <c r="E27" s="57" t="s">
        <v>326</v>
      </c>
      <c r="F27" s="57" t="s">
        <v>61</v>
      </c>
      <c r="G27" s="57" t="s">
        <v>62</v>
      </c>
      <c r="H27" s="57" t="s">
        <v>19</v>
      </c>
      <c r="I27" s="57">
        <v>1</v>
      </c>
      <c r="J27" s="57">
        <v>899.99</v>
      </c>
      <c r="K27" s="57" t="s">
        <v>34</v>
      </c>
      <c r="L27" s="57" t="s">
        <v>40</v>
      </c>
      <c r="M27" s="57" t="s">
        <v>36</v>
      </c>
      <c r="N27" s="58">
        <v>44752</v>
      </c>
      <c r="O27" s="57">
        <v>899.99</v>
      </c>
    </row>
    <row r="28" spans="1:15" x14ac:dyDescent="0.25">
      <c r="A28" s="57" t="s">
        <v>220</v>
      </c>
      <c r="B28" s="58">
        <v>45519</v>
      </c>
      <c r="C28" s="58" t="str">
        <f t="shared" si="0"/>
        <v>August</v>
      </c>
      <c r="D28" s="57" t="s">
        <v>158</v>
      </c>
      <c r="E28" s="57" t="s">
        <v>159</v>
      </c>
      <c r="F28" s="57" t="s">
        <v>126</v>
      </c>
      <c r="G28" s="57" t="s">
        <v>127</v>
      </c>
      <c r="H28" s="57" t="s">
        <v>46</v>
      </c>
      <c r="I28" s="57">
        <v>5</v>
      </c>
      <c r="J28" s="57">
        <v>199.99</v>
      </c>
      <c r="K28" s="57" t="s">
        <v>20</v>
      </c>
      <c r="L28" s="57" t="s">
        <v>40</v>
      </c>
      <c r="M28" s="57" t="s">
        <v>27</v>
      </c>
      <c r="N28" s="58">
        <v>44991</v>
      </c>
      <c r="O28" s="57">
        <v>999.95</v>
      </c>
    </row>
    <row r="29" spans="1:15" x14ac:dyDescent="0.25">
      <c r="A29" s="57" t="s">
        <v>311</v>
      </c>
      <c r="B29" s="58">
        <v>45644</v>
      </c>
      <c r="C29" s="58" t="str">
        <f t="shared" si="0"/>
        <v>December</v>
      </c>
      <c r="D29" s="57" t="s">
        <v>132</v>
      </c>
      <c r="E29" s="57" t="s">
        <v>133</v>
      </c>
      <c r="F29" s="57" t="s">
        <v>31</v>
      </c>
      <c r="G29" s="57" t="s">
        <v>32</v>
      </c>
      <c r="H29" s="57" t="s">
        <v>33</v>
      </c>
      <c r="I29" s="57">
        <v>2</v>
      </c>
      <c r="J29" s="57">
        <v>59.99</v>
      </c>
      <c r="K29" s="57" t="s">
        <v>20</v>
      </c>
      <c r="L29" s="57" t="s">
        <v>50</v>
      </c>
      <c r="M29" s="57" t="s">
        <v>22</v>
      </c>
      <c r="N29" s="58">
        <v>45191</v>
      </c>
      <c r="O29" s="57">
        <v>119.98</v>
      </c>
    </row>
    <row r="30" spans="1:15" x14ac:dyDescent="0.25">
      <c r="A30" s="57" t="s">
        <v>125</v>
      </c>
      <c r="B30" s="58">
        <v>45427</v>
      </c>
      <c r="C30" s="58" t="str">
        <f t="shared" si="0"/>
        <v>May</v>
      </c>
      <c r="D30" s="57" t="s">
        <v>55</v>
      </c>
      <c r="E30" s="57" t="s">
        <v>56</v>
      </c>
      <c r="F30" s="57" t="s">
        <v>126</v>
      </c>
      <c r="G30" s="57" t="s">
        <v>127</v>
      </c>
      <c r="H30" s="57" t="s">
        <v>46</v>
      </c>
      <c r="I30" s="57">
        <v>5</v>
      </c>
      <c r="J30" s="57">
        <v>199.99</v>
      </c>
      <c r="K30" s="57" t="s">
        <v>20</v>
      </c>
      <c r="L30" s="57" t="s">
        <v>35</v>
      </c>
      <c r="M30" s="57" t="s">
        <v>36</v>
      </c>
      <c r="N30" s="58">
        <v>44412</v>
      </c>
      <c r="O30" s="57">
        <v>999.95</v>
      </c>
    </row>
    <row r="31" spans="1:15" x14ac:dyDescent="0.25">
      <c r="A31" s="57" t="s">
        <v>345</v>
      </c>
      <c r="B31" s="58">
        <v>45686</v>
      </c>
      <c r="C31" s="58" t="str">
        <f t="shared" si="0"/>
        <v>January</v>
      </c>
      <c r="D31" s="57" t="s">
        <v>252</v>
      </c>
      <c r="E31" s="57" t="s">
        <v>253</v>
      </c>
      <c r="F31" s="57" t="s">
        <v>61</v>
      </c>
      <c r="G31" s="57" t="s">
        <v>62</v>
      </c>
      <c r="H31" s="57" t="s">
        <v>19</v>
      </c>
      <c r="I31" s="57">
        <v>4</v>
      </c>
      <c r="J31" s="57">
        <v>899.99</v>
      </c>
      <c r="K31" s="57" t="s">
        <v>34</v>
      </c>
      <c r="L31" s="57" t="s">
        <v>21</v>
      </c>
      <c r="M31" s="57" t="s">
        <v>22</v>
      </c>
      <c r="N31" s="58">
        <v>44734</v>
      </c>
      <c r="O31" s="57">
        <v>3599.96</v>
      </c>
    </row>
    <row r="32" spans="1:15" x14ac:dyDescent="0.25">
      <c r="A32" s="57" t="s">
        <v>223</v>
      </c>
      <c r="B32" s="58">
        <v>45523</v>
      </c>
      <c r="C32" s="58" t="str">
        <f t="shared" si="0"/>
        <v>August</v>
      </c>
      <c r="D32" s="57" t="s">
        <v>108</v>
      </c>
      <c r="E32" s="57" t="s">
        <v>109</v>
      </c>
      <c r="F32" s="57" t="s">
        <v>52</v>
      </c>
      <c r="G32" s="57" t="s">
        <v>53</v>
      </c>
      <c r="H32" s="57" t="s">
        <v>19</v>
      </c>
      <c r="I32" s="57">
        <v>3</v>
      </c>
      <c r="J32" s="57">
        <v>149.99</v>
      </c>
      <c r="K32" s="57" t="s">
        <v>34</v>
      </c>
      <c r="L32" s="57" t="s">
        <v>63</v>
      </c>
      <c r="M32" s="57" t="s">
        <v>22</v>
      </c>
      <c r="N32" s="58">
        <v>44574</v>
      </c>
      <c r="O32" s="57">
        <v>449.97</v>
      </c>
    </row>
    <row r="33" spans="1:15" x14ac:dyDescent="0.25">
      <c r="A33" s="57" t="s">
        <v>308</v>
      </c>
      <c r="B33" s="58">
        <v>45638</v>
      </c>
      <c r="C33" s="58" t="str">
        <f t="shared" si="0"/>
        <v>December</v>
      </c>
      <c r="D33" s="57" t="s">
        <v>72</v>
      </c>
      <c r="E33" s="57" t="s">
        <v>73</v>
      </c>
      <c r="F33" s="57" t="s">
        <v>61</v>
      </c>
      <c r="G33" s="57" t="s">
        <v>62</v>
      </c>
      <c r="H33" s="57" t="s">
        <v>19</v>
      </c>
      <c r="I33" s="57">
        <v>2</v>
      </c>
      <c r="J33" s="57">
        <v>899.99</v>
      </c>
      <c r="K33" s="57" t="s">
        <v>20</v>
      </c>
      <c r="L33" s="57" t="s">
        <v>40</v>
      </c>
      <c r="M33" s="57" t="s">
        <v>22</v>
      </c>
      <c r="N33" s="58">
        <v>44406</v>
      </c>
      <c r="O33" s="57">
        <v>1799.98</v>
      </c>
    </row>
    <row r="34" spans="1:15" x14ac:dyDescent="0.25">
      <c r="A34" s="57" t="s">
        <v>288</v>
      </c>
      <c r="B34" s="58">
        <v>45613</v>
      </c>
      <c r="C34" s="58" t="str">
        <f t="shared" si="0"/>
        <v>November</v>
      </c>
      <c r="D34" s="57" t="s">
        <v>86</v>
      </c>
      <c r="E34" s="57" t="s">
        <v>87</v>
      </c>
      <c r="F34" s="57" t="s">
        <v>80</v>
      </c>
      <c r="G34" s="57" t="s">
        <v>81</v>
      </c>
      <c r="H34" s="57" t="s">
        <v>19</v>
      </c>
      <c r="I34" s="57">
        <v>2</v>
      </c>
      <c r="J34" s="57">
        <v>699.99</v>
      </c>
      <c r="K34" s="57" t="s">
        <v>34</v>
      </c>
      <c r="L34" s="57" t="s">
        <v>50</v>
      </c>
      <c r="M34" s="57" t="s">
        <v>36</v>
      </c>
      <c r="N34" s="58">
        <v>44770</v>
      </c>
      <c r="O34" s="57">
        <v>1399.98</v>
      </c>
    </row>
    <row r="35" spans="1:15" x14ac:dyDescent="0.25">
      <c r="A35" s="57" t="s">
        <v>269</v>
      </c>
      <c r="B35" s="58">
        <v>45581</v>
      </c>
      <c r="C35" s="58" t="str">
        <f t="shared" si="0"/>
        <v>October</v>
      </c>
      <c r="D35" s="57" t="s">
        <v>171</v>
      </c>
      <c r="E35" s="57" t="s">
        <v>172</v>
      </c>
      <c r="F35" s="57" t="s">
        <v>80</v>
      </c>
      <c r="G35" s="57" t="s">
        <v>81</v>
      </c>
      <c r="H35" s="57" t="s">
        <v>19</v>
      </c>
      <c r="I35" s="57">
        <v>4</v>
      </c>
      <c r="J35" s="57">
        <v>699.99</v>
      </c>
      <c r="K35" s="57" t="s">
        <v>26</v>
      </c>
      <c r="L35" s="57" t="s">
        <v>21</v>
      </c>
      <c r="M35" s="57" t="s">
        <v>22</v>
      </c>
      <c r="N35" s="58">
        <v>45385</v>
      </c>
      <c r="O35" s="57">
        <v>2799.96</v>
      </c>
    </row>
    <row r="36" spans="1:15" x14ac:dyDescent="0.25">
      <c r="A36" s="57" t="s">
        <v>282</v>
      </c>
      <c r="B36" s="58">
        <v>45607</v>
      </c>
      <c r="C36" s="58" t="str">
        <f t="shared" si="0"/>
        <v>November</v>
      </c>
      <c r="D36" s="57" t="s">
        <v>72</v>
      </c>
      <c r="E36" s="57" t="s">
        <v>73</v>
      </c>
      <c r="F36" s="57" t="s">
        <v>52</v>
      </c>
      <c r="G36" s="57" t="s">
        <v>53</v>
      </c>
      <c r="H36" s="57" t="s">
        <v>19</v>
      </c>
      <c r="I36" s="57">
        <v>3</v>
      </c>
      <c r="J36" s="57">
        <v>149.99</v>
      </c>
      <c r="K36" s="57" t="s">
        <v>20</v>
      </c>
      <c r="L36" s="57" t="s">
        <v>40</v>
      </c>
      <c r="M36" s="57" t="s">
        <v>22</v>
      </c>
      <c r="N36" s="58">
        <v>44769</v>
      </c>
      <c r="O36" s="57">
        <v>449.97</v>
      </c>
    </row>
    <row r="37" spans="1:15" x14ac:dyDescent="0.25">
      <c r="A37" s="57" t="s">
        <v>306</v>
      </c>
      <c r="B37" s="58">
        <v>45635</v>
      </c>
      <c r="C37" s="58" t="str">
        <f t="shared" si="0"/>
        <v>December</v>
      </c>
      <c r="D37" s="57" t="s">
        <v>141</v>
      </c>
      <c r="E37" s="57" t="s">
        <v>142</v>
      </c>
      <c r="F37" s="57" t="s">
        <v>114</v>
      </c>
      <c r="G37" s="57" t="s">
        <v>115</v>
      </c>
      <c r="H37" s="57" t="s">
        <v>33</v>
      </c>
      <c r="I37" s="57">
        <v>4</v>
      </c>
      <c r="J37" s="57">
        <v>79.989999999999995</v>
      </c>
      <c r="K37" s="57" t="s">
        <v>57</v>
      </c>
      <c r="L37" s="57" t="s">
        <v>63</v>
      </c>
      <c r="M37" s="57" t="s">
        <v>36</v>
      </c>
      <c r="N37" s="58">
        <v>44921</v>
      </c>
      <c r="O37" s="57">
        <v>319.95999999999998</v>
      </c>
    </row>
    <row r="38" spans="1:15" x14ac:dyDescent="0.25">
      <c r="A38" s="57" t="s">
        <v>228</v>
      </c>
      <c r="B38" s="58">
        <v>45528</v>
      </c>
      <c r="C38" s="58" t="str">
        <f t="shared" si="0"/>
        <v>August</v>
      </c>
      <c r="D38" s="57" t="s">
        <v>144</v>
      </c>
      <c r="E38" s="57" t="s">
        <v>145</v>
      </c>
      <c r="F38" s="57" t="s">
        <v>17</v>
      </c>
      <c r="G38" s="57" t="s">
        <v>18</v>
      </c>
      <c r="H38" s="57" t="s">
        <v>19</v>
      </c>
      <c r="I38" s="57">
        <v>2</v>
      </c>
      <c r="J38" s="57">
        <v>249.99</v>
      </c>
      <c r="K38" s="57" t="s">
        <v>20</v>
      </c>
      <c r="L38" s="57" t="s">
        <v>35</v>
      </c>
      <c r="M38" s="57" t="s">
        <v>36</v>
      </c>
      <c r="N38" s="58">
        <v>44572</v>
      </c>
      <c r="O38" s="57">
        <v>499.98</v>
      </c>
    </row>
    <row r="39" spans="1:15" x14ac:dyDescent="0.25">
      <c r="A39" s="57" t="s">
        <v>379</v>
      </c>
      <c r="B39" s="58">
        <v>45726</v>
      </c>
      <c r="C39" s="58" t="str">
        <f t="shared" si="0"/>
        <v>March</v>
      </c>
      <c r="D39" s="57" t="s">
        <v>144</v>
      </c>
      <c r="E39" s="57" t="s">
        <v>145</v>
      </c>
      <c r="F39" s="57" t="s">
        <v>17</v>
      </c>
      <c r="G39" s="57" t="s">
        <v>18</v>
      </c>
      <c r="H39" s="57" t="s">
        <v>19</v>
      </c>
      <c r="I39" s="57">
        <v>1</v>
      </c>
      <c r="J39" s="57">
        <v>249.99</v>
      </c>
      <c r="K39" s="57" t="s">
        <v>20</v>
      </c>
      <c r="L39" s="57" t="s">
        <v>40</v>
      </c>
      <c r="M39" s="57" t="s">
        <v>36</v>
      </c>
      <c r="N39" s="58">
        <v>45117</v>
      </c>
      <c r="O39" s="57">
        <v>249.99</v>
      </c>
    </row>
    <row r="40" spans="1:15" x14ac:dyDescent="0.25">
      <c r="A40" s="57" t="s">
        <v>394</v>
      </c>
      <c r="B40" s="58">
        <v>45755</v>
      </c>
      <c r="C40" s="58" t="str">
        <f t="shared" si="0"/>
        <v>April</v>
      </c>
      <c r="D40" s="57" t="s">
        <v>93</v>
      </c>
      <c r="E40" s="57" t="s">
        <v>94</v>
      </c>
      <c r="F40" s="57" t="s">
        <v>114</v>
      </c>
      <c r="G40" s="57" t="s">
        <v>115</v>
      </c>
      <c r="H40" s="57" t="s">
        <v>33</v>
      </c>
      <c r="I40" s="57">
        <v>3</v>
      </c>
      <c r="J40" s="57">
        <v>79.989999999999995</v>
      </c>
      <c r="K40" s="57" t="s">
        <v>26</v>
      </c>
      <c r="L40" s="57" t="s">
        <v>40</v>
      </c>
      <c r="M40" s="57" t="s">
        <v>22</v>
      </c>
      <c r="N40" s="58">
        <v>44511</v>
      </c>
      <c r="O40" s="57">
        <v>239.97</v>
      </c>
    </row>
    <row r="41" spans="1:15" x14ac:dyDescent="0.25">
      <c r="A41" s="57" t="s">
        <v>110</v>
      </c>
      <c r="B41" s="58">
        <v>45424</v>
      </c>
      <c r="C41" s="58" t="str">
        <f t="shared" si="0"/>
        <v>May</v>
      </c>
      <c r="D41" s="57" t="s">
        <v>68</v>
      </c>
      <c r="E41" s="57" t="s">
        <v>69</v>
      </c>
      <c r="F41" s="57" t="s">
        <v>105</v>
      </c>
      <c r="G41" s="57" t="s">
        <v>106</v>
      </c>
      <c r="H41" s="57" t="s">
        <v>46</v>
      </c>
      <c r="I41" s="57">
        <v>5</v>
      </c>
      <c r="J41" s="57">
        <v>299.99</v>
      </c>
      <c r="K41" s="57" t="s">
        <v>34</v>
      </c>
      <c r="L41" s="57" t="s">
        <v>63</v>
      </c>
      <c r="M41" s="57" t="s">
        <v>22</v>
      </c>
      <c r="N41" s="58">
        <v>45168</v>
      </c>
      <c r="O41" s="57">
        <v>1499.95</v>
      </c>
    </row>
    <row r="42" spans="1:15" x14ac:dyDescent="0.25">
      <c r="A42" s="57" t="s">
        <v>134</v>
      </c>
      <c r="B42" s="58">
        <v>45432</v>
      </c>
      <c r="C42" s="58" t="str">
        <f t="shared" si="0"/>
        <v>May</v>
      </c>
      <c r="D42" s="57" t="s">
        <v>29</v>
      </c>
      <c r="E42" s="57" t="s">
        <v>30</v>
      </c>
      <c r="F42" s="57" t="s">
        <v>61</v>
      </c>
      <c r="G42" s="57" t="s">
        <v>62</v>
      </c>
      <c r="H42" s="57" t="s">
        <v>19</v>
      </c>
      <c r="I42" s="57">
        <v>1</v>
      </c>
      <c r="J42" s="57">
        <v>899.99</v>
      </c>
      <c r="K42" s="57" t="s">
        <v>26</v>
      </c>
      <c r="L42" s="57" t="s">
        <v>50</v>
      </c>
      <c r="M42" s="57" t="s">
        <v>27</v>
      </c>
      <c r="N42" s="58">
        <v>44578</v>
      </c>
      <c r="O42" s="57">
        <v>899.99</v>
      </c>
    </row>
    <row r="43" spans="1:15" x14ac:dyDescent="0.25">
      <c r="A43" s="57" t="s">
        <v>146</v>
      </c>
      <c r="B43" s="58">
        <v>45443</v>
      </c>
      <c r="C43" s="58" t="str">
        <f t="shared" si="0"/>
        <v>May</v>
      </c>
      <c r="D43" s="57" t="s">
        <v>147</v>
      </c>
      <c r="E43" s="57" t="s">
        <v>148</v>
      </c>
      <c r="F43" s="57" t="s">
        <v>114</v>
      </c>
      <c r="G43" s="57" t="s">
        <v>115</v>
      </c>
      <c r="H43" s="57" t="s">
        <v>33</v>
      </c>
      <c r="I43" s="57">
        <v>1</v>
      </c>
      <c r="J43" s="57">
        <v>79.989999999999995</v>
      </c>
      <c r="K43" s="57" t="s">
        <v>20</v>
      </c>
      <c r="L43" s="57" t="s">
        <v>40</v>
      </c>
      <c r="M43" s="57" t="s">
        <v>36</v>
      </c>
      <c r="N43" s="58">
        <v>44917</v>
      </c>
      <c r="O43" s="57">
        <v>79.989999999999995</v>
      </c>
    </row>
    <row r="44" spans="1:15" x14ac:dyDescent="0.25">
      <c r="A44" s="57" t="s">
        <v>37</v>
      </c>
      <c r="B44" s="58">
        <v>45400</v>
      </c>
      <c r="C44" s="58" t="str">
        <f t="shared" si="0"/>
        <v>April</v>
      </c>
      <c r="D44" s="57" t="s">
        <v>38</v>
      </c>
      <c r="E44" s="57" t="s">
        <v>39</v>
      </c>
      <c r="F44" s="57" t="s">
        <v>31</v>
      </c>
      <c r="G44" s="57" t="s">
        <v>32</v>
      </c>
      <c r="H44" s="57" t="s">
        <v>33</v>
      </c>
      <c r="I44" s="57">
        <v>3</v>
      </c>
      <c r="J44" s="57">
        <v>59.99</v>
      </c>
      <c r="K44" s="57" t="s">
        <v>20</v>
      </c>
      <c r="L44" s="57" t="s">
        <v>40</v>
      </c>
      <c r="M44" s="57" t="s">
        <v>27</v>
      </c>
      <c r="N44" s="58">
        <v>45114</v>
      </c>
      <c r="O44" s="57">
        <v>179.97</v>
      </c>
    </row>
    <row r="45" spans="1:15" x14ac:dyDescent="0.25">
      <c r="A45" s="57" t="s">
        <v>167</v>
      </c>
      <c r="B45" s="58">
        <v>45459</v>
      </c>
      <c r="C45" s="58" t="str">
        <f t="shared" si="0"/>
        <v>June</v>
      </c>
      <c r="D45" s="57" t="s">
        <v>123</v>
      </c>
      <c r="E45" s="57" t="s">
        <v>124</v>
      </c>
      <c r="F45" s="57" t="s">
        <v>61</v>
      </c>
      <c r="G45" s="57" t="s">
        <v>62</v>
      </c>
      <c r="H45" s="57" t="s">
        <v>19</v>
      </c>
      <c r="I45" s="57">
        <v>5</v>
      </c>
      <c r="J45" s="57">
        <v>899.99</v>
      </c>
      <c r="K45" s="57" t="s">
        <v>34</v>
      </c>
      <c r="L45" s="57" t="s">
        <v>63</v>
      </c>
      <c r="M45" s="57" t="s">
        <v>27</v>
      </c>
      <c r="N45" s="58">
        <v>45278</v>
      </c>
      <c r="O45" s="57">
        <v>4499.95</v>
      </c>
    </row>
    <row r="46" spans="1:15" x14ac:dyDescent="0.25">
      <c r="A46" s="57" t="s">
        <v>296</v>
      </c>
      <c r="B46" s="58">
        <v>45627</v>
      </c>
      <c r="C46" s="58" t="str">
        <f t="shared" si="0"/>
        <v>December</v>
      </c>
      <c r="D46" s="57" t="s">
        <v>29</v>
      </c>
      <c r="E46" s="57" t="s">
        <v>30</v>
      </c>
      <c r="F46" s="57" t="s">
        <v>105</v>
      </c>
      <c r="G46" s="57" t="s">
        <v>106</v>
      </c>
      <c r="H46" s="57" t="s">
        <v>46</v>
      </c>
      <c r="I46" s="57">
        <v>3</v>
      </c>
      <c r="J46" s="57">
        <v>299.99</v>
      </c>
      <c r="K46" s="57" t="s">
        <v>20</v>
      </c>
      <c r="L46" s="57" t="s">
        <v>35</v>
      </c>
      <c r="M46" s="57" t="s">
        <v>27</v>
      </c>
      <c r="N46" s="58">
        <v>44659</v>
      </c>
      <c r="O46" s="57">
        <v>899.97</v>
      </c>
    </row>
    <row r="47" spans="1:15" x14ac:dyDescent="0.25">
      <c r="A47" s="57" t="s">
        <v>314</v>
      </c>
      <c r="B47" s="58">
        <v>45646</v>
      </c>
      <c r="C47" s="58" t="str">
        <f t="shared" si="0"/>
        <v>December</v>
      </c>
      <c r="D47" s="57" t="s">
        <v>42</v>
      </c>
      <c r="E47" s="57" t="s">
        <v>43</v>
      </c>
      <c r="F47" s="57" t="s">
        <v>44</v>
      </c>
      <c r="G47" s="57" t="s">
        <v>45</v>
      </c>
      <c r="H47" s="57" t="s">
        <v>46</v>
      </c>
      <c r="I47" s="57">
        <v>2</v>
      </c>
      <c r="J47" s="57">
        <v>149.99</v>
      </c>
      <c r="K47" s="57" t="s">
        <v>20</v>
      </c>
      <c r="L47" s="57" t="s">
        <v>35</v>
      </c>
      <c r="M47" s="57" t="s">
        <v>22</v>
      </c>
      <c r="N47" s="58">
        <v>45239</v>
      </c>
      <c r="O47" s="57">
        <v>299.98</v>
      </c>
    </row>
    <row r="48" spans="1:15" x14ac:dyDescent="0.25">
      <c r="A48" s="57" t="s">
        <v>365</v>
      </c>
      <c r="B48" s="58">
        <v>45711</v>
      </c>
      <c r="C48" s="58" t="str">
        <f t="shared" si="0"/>
        <v>February</v>
      </c>
      <c r="D48" s="57" t="s">
        <v>246</v>
      </c>
      <c r="E48" s="57" t="s">
        <v>247</v>
      </c>
      <c r="F48" s="57" t="s">
        <v>80</v>
      </c>
      <c r="G48" s="57" t="s">
        <v>81</v>
      </c>
      <c r="H48" s="57" t="s">
        <v>19</v>
      </c>
      <c r="I48" s="57">
        <v>1</v>
      </c>
      <c r="J48" s="57">
        <v>699.99</v>
      </c>
      <c r="K48" s="57" t="s">
        <v>20</v>
      </c>
      <c r="L48" s="57" t="s">
        <v>40</v>
      </c>
      <c r="M48" s="57" t="s">
        <v>27</v>
      </c>
      <c r="N48" s="58">
        <v>44583</v>
      </c>
      <c r="O48" s="57">
        <v>699.99</v>
      </c>
    </row>
    <row r="49" spans="1:15" x14ac:dyDescent="0.25">
      <c r="A49" s="57" t="s">
        <v>370</v>
      </c>
      <c r="B49" s="58">
        <v>45715</v>
      </c>
      <c r="C49" s="58" t="str">
        <f t="shared" si="0"/>
        <v>February</v>
      </c>
      <c r="D49" s="57" t="s">
        <v>93</v>
      </c>
      <c r="E49" s="57" t="s">
        <v>94</v>
      </c>
      <c r="F49" s="57" t="s">
        <v>105</v>
      </c>
      <c r="G49" s="57" t="s">
        <v>106</v>
      </c>
      <c r="H49" s="57" t="s">
        <v>46</v>
      </c>
      <c r="I49" s="57">
        <v>2</v>
      </c>
      <c r="J49" s="57">
        <v>299.99</v>
      </c>
      <c r="K49" s="57" t="s">
        <v>34</v>
      </c>
      <c r="L49" s="57" t="s">
        <v>35</v>
      </c>
      <c r="M49" s="57" t="s">
        <v>22</v>
      </c>
      <c r="N49" s="58">
        <v>44576</v>
      </c>
      <c r="O49" s="57">
        <v>599.98</v>
      </c>
    </row>
    <row r="50" spans="1:15" x14ac:dyDescent="0.25">
      <c r="A50" s="57" t="s">
        <v>85</v>
      </c>
      <c r="B50" s="58">
        <v>45410</v>
      </c>
      <c r="C50" s="58" t="str">
        <f t="shared" si="0"/>
        <v>April</v>
      </c>
      <c r="D50" s="57" t="s">
        <v>86</v>
      </c>
      <c r="E50" s="57" t="s">
        <v>87</v>
      </c>
      <c r="F50" s="57" t="s">
        <v>44</v>
      </c>
      <c r="G50" s="57" t="s">
        <v>45</v>
      </c>
      <c r="H50" s="57" t="s">
        <v>46</v>
      </c>
      <c r="I50" s="57">
        <v>4</v>
      </c>
      <c r="J50" s="57">
        <v>149.99</v>
      </c>
      <c r="K50" s="57" t="s">
        <v>57</v>
      </c>
      <c r="L50" s="57" t="s">
        <v>40</v>
      </c>
      <c r="M50" s="57" t="s">
        <v>27</v>
      </c>
      <c r="N50" s="58">
        <v>45374</v>
      </c>
      <c r="O50" s="57">
        <v>599.96</v>
      </c>
    </row>
    <row r="51" spans="1:15" x14ac:dyDescent="0.25">
      <c r="A51" s="57" t="s">
        <v>385</v>
      </c>
      <c r="B51" s="58">
        <v>45740</v>
      </c>
      <c r="C51" s="58" t="str">
        <f t="shared" si="0"/>
        <v>March</v>
      </c>
      <c r="D51" s="57" t="s">
        <v>386</v>
      </c>
      <c r="E51" s="57" t="s">
        <v>387</v>
      </c>
      <c r="F51" s="57" t="s">
        <v>44</v>
      </c>
      <c r="G51" s="57" t="s">
        <v>45</v>
      </c>
      <c r="H51" s="57" t="s">
        <v>46</v>
      </c>
      <c r="I51" s="57">
        <v>4</v>
      </c>
      <c r="J51" s="57">
        <v>149.99</v>
      </c>
      <c r="K51" s="57" t="s">
        <v>34</v>
      </c>
      <c r="L51" s="57" t="s">
        <v>50</v>
      </c>
      <c r="M51" s="57" t="s">
        <v>36</v>
      </c>
      <c r="N51" s="58">
        <v>44560</v>
      </c>
      <c r="O51" s="57">
        <v>599.96</v>
      </c>
    </row>
    <row r="52" spans="1:15" x14ac:dyDescent="0.25">
      <c r="A52" s="57" t="s">
        <v>338</v>
      </c>
      <c r="B52" s="58">
        <v>45671</v>
      </c>
      <c r="C52" s="58" t="str">
        <f t="shared" si="0"/>
        <v>January</v>
      </c>
      <c r="D52" s="57" t="s">
        <v>234</v>
      </c>
      <c r="E52" s="57" t="s">
        <v>235</v>
      </c>
      <c r="F52" s="57" t="s">
        <v>105</v>
      </c>
      <c r="G52" s="57" t="s">
        <v>106</v>
      </c>
      <c r="H52" s="57" t="s">
        <v>46</v>
      </c>
      <c r="I52" s="57">
        <v>3</v>
      </c>
      <c r="J52" s="57">
        <v>299.99</v>
      </c>
      <c r="K52" s="57" t="s">
        <v>26</v>
      </c>
      <c r="L52" s="57" t="s">
        <v>35</v>
      </c>
      <c r="M52" s="57" t="s">
        <v>22</v>
      </c>
      <c r="N52" s="58">
        <v>45204</v>
      </c>
      <c r="O52" s="57">
        <v>899.97</v>
      </c>
    </row>
    <row r="53" spans="1:15" x14ac:dyDescent="0.25">
      <c r="A53" s="57" t="s">
        <v>180</v>
      </c>
      <c r="B53" s="58">
        <v>45476</v>
      </c>
      <c r="C53" s="58" t="str">
        <f t="shared" si="0"/>
        <v>July</v>
      </c>
      <c r="D53" s="57" t="s">
        <v>68</v>
      </c>
      <c r="E53" s="57" t="s">
        <v>69</v>
      </c>
      <c r="F53" s="57" t="s">
        <v>117</v>
      </c>
      <c r="G53" s="57" t="s">
        <v>118</v>
      </c>
      <c r="H53" s="57" t="s">
        <v>19</v>
      </c>
      <c r="I53" s="57">
        <v>1</v>
      </c>
      <c r="J53" s="57">
        <v>89.99</v>
      </c>
      <c r="K53" s="57" t="s">
        <v>20</v>
      </c>
      <c r="L53" s="57" t="s">
        <v>35</v>
      </c>
      <c r="M53" s="57" t="s">
        <v>36</v>
      </c>
      <c r="N53" s="58">
        <v>44611</v>
      </c>
      <c r="O53" s="57">
        <v>89.99</v>
      </c>
    </row>
    <row r="54" spans="1:15" x14ac:dyDescent="0.25">
      <c r="A54" s="57" t="s">
        <v>373</v>
      </c>
      <c r="B54" s="58">
        <v>45721</v>
      </c>
      <c r="C54" s="58" t="str">
        <f t="shared" si="0"/>
        <v>March</v>
      </c>
      <c r="D54" s="57" t="s">
        <v>75</v>
      </c>
      <c r="E54" s="57" t="s">
        <v>76</v>
      </c>
      <c r="F54" s="57" t="s">
        <v>31</v>
      </c>
      <c r="G54" s="57" t="s">
        <v>32</v>
      </c>
      <c r="H54" s="57" t="s">
        <v>33</v>
      </c>
      <c r="I54" s="57">
        <v>5</v>
      </c>
      <c r="J54" s="57">
        <v>59.99</v>
      </c>
      <c r="K54" s="57" t="s">
        <v>20</v>
      </c>
      <c r="L54" s="57" t="s">
        <v>50</v>
      </c>
      <c r="M54" s="57" t="s">
        <v>27</v>
      </c>
      <c r="N54" s="58">
        <v>45291</v>
      </c>
      <c r="O54" s="57">
        <v>299.95</v>
      </c>
    </row>
    <row r="55" spans="1:15" x14ac:dyDescent="0.25">
      <c r="A55" s="57" t="s">
        <v>249</v>
      </c>
      <c r="B55" s="58">
        <v>45551</v>
      </c>
      <c r="C55" s="58" t="str">
        <f t="shared" si="0"/>
        <v>September</v>
      </c>
      <c r="D55" s="57" t="s">
        <v>154</v>
      </c>
      <c r="E55" s="57" t="s">
        <v>155</v>
      </c>
      <c r="F55" s="57" t="s">
        <v>126</v>
      </c>
      <c r="G55" s="57" t="s">
        <v>127</v>
      </c>
      <c r="H55" s="57" t="s">
        <v>46</v>
      </c>
      <c r="I55" s="57">
        <v>4</v>
      </c>
      <c r="J55" s="57">
        <v>199.99</v>
      </c>
      <c r="K55" s="57" t="s">
        <v>57</v>
      </c>
      <c r="L55" s="57" t="s">
        <v>63</v>
      </c>
      <c r="M55" s="57" t="s">
        <v>22</v>
      </c>
      <c r="N55" s="58">
        <v>44458</v>
      </c>
      <c r="O55" s="57">
        <v>799.96</v>
      </c>
    </row>
    <row r="56" spans="1:15" x14ac:dyDescent="0.25">
      <c r="A56" s="57" t="s">
        <v>264</v>
      </c>
      <c r="B56" s="58">
        <v>45573</v>
      </c>
      <c r="C56" s="58" t="str">
        <f t="shared" si="0"/>
        <v>October</v>
      </c>
      <c r="D56" s="57" t="s">
        <v>211</v>
      </c>
      <c r="E56" s="57" t="s">
        <v>212</v>
      </c>
      <c r="F56" s="57" t="s">
        <v>80</v>
      </c>
      <c r="G56" s="57" t="s">
        <v>81</v>
      </c>
      <c r="H56" s="57" t="s">
        <v>19</v>
      </c>
      <c r="I56" s="57">
        <v>2</v>
      </c>
      <c r="J56" s="57">
        <v>699.99</v>
      </c>
      <c r="K56" s="57" t="s">
        <v>57</v>
      </c>
      <c r="L56" s="57" t="s">
        <v>63</v>
      </c>
      <c r="M56" s="57" t="s">
        <v>27</v>
      </c>
      <c r="N56" s="58">
        <v>45274</v>
      </c>
      <c r="O56" s="57">
        <v>1399.98</v>
      </c>
    </row>
    <row r="57" spans="1:15" x14ac:dyDescent="0.25">
      <c r="A57" s="57" t="s">
        <v>323</v>
      </c>
      <c r="B57" s="58">
        <v>45660</v>
      </c>
      <c r="C57" s="58" t="str">
        <f t="shared" si="0"/>
        <v>January</v>
      </c>
      <c r="D57" s="57" t="s">
        <v>147</v>
      </c>
      <c r="E57" s="57" t="s">
        <v>148</v>
      </c>
      <c r="F57" s="57" t="s">
        <v>117</v>
      </c>
      <c r="G57" s="57" t="s">
        <v>118</v>
      </c>
      <c r="H57" s="57" t="s">
        <v>19</v>
      </c>
      <c r="I57" s="57">
        <v>2</v>
      </c>
      <c r="J57" s="57">
        <v>89.99</v>
      </c>
      <c r="K57" s="57" t="s">
        <v>26</v>
      </c>
      <c r="L57" s="57" t="s">
        <v>35</v>
      </c>
      <c r="M57" s="57" t="s">
        <v>27</v>
      </c>
      <c r="N57" s="58">
        <v>44564</v>
      </c>
      <c r="O57" s="57">
        <v>179.98</v>
      </c>
    </row>
    <row r="58" spans="1:15" x14ac:dyDescent="0.25">
      <c r="A58" s="57" t="s">
        <v>277</v>
      </c>
      <c r="B58" s="58">
        <v>45597</v>
      </c>
      <c r="C58" s="58" t="str">
        <f t="shared" si="0"/>
        <v>November</v>
      </c>
      <c r="D58" s="57" t="s">
        <v>15</v>
      </c>
      <c r="E58" s="57" t="s">
        <v>16</v>
      </c>
      <c r="F58" s="57" t="s">
        <v>17</v>
      </c>
      <c r="G58" s="57" t="s">
        <v>18</v>
      </c>
      <c r="H58" s="57" t="s">
        <v>19</v>
      </c>
      <c r="I58" s="57">
        <v>5</v>
      </c>
      <c r="J58" s="57">
        <v>249.99</v>
      </c>
      <c r="K58" s="57" t="s">
        <v>26</v>
      </c>
      <c r="L58" s="57" t="s">
        <v>35</v>
      </c>
      <c r="M58" s="57" t="s">
        <v>36</v>
      </c>
      <c r="N58" s="58">
        <v>44881</v>
      </c>
      <c r="O58" s="57">
        <v>1249.95</v>
      </c>
    </row>
    <row r="59" spans="1:15" x14ac:dyDescent="0.25">
      <c r="A59" s="57" t="s">
        <v>229</v>
      </c>
      <c r="B59" s="58">
        <v>45532</v>
      </c>
      <c r="C59" s="58" t="str">
        <f t="shared" si="0"/>
        <v>August</v>
      </c>
      <c r="D59" s="57" t="s">
        <v>196</v>
      </c>
      <c r="E59" s="57" t="s">
        <v>197</v>
      </c>
      <c r="F59" s="57" t="s">
        <v>80</v>
      </c>
      <c r="G59" s="57" t="s">
        <v>81</v>
      </c>
      <c r="H59" s="57" t="s">
        <v>19</v>
      </c>
      <c r="I59" s="57">
        <v>1</v>
      </c>
      <c r="J59" s="57">
        <v>699.99</v>
      </c>
      <c r="K59" s="57" t="s">
        <v>20</v>
      </c>
      <c r="L59" s="57" t="s">
        <v>21</v>
      </c>
      <c r="M59" s="57" t="s">
        <v>27</v>
      </c>
      <c r="N59" s="58">
        <v>44497</v>
      </c>
      <c r="O59" s="57">
        <v>699.99</v>
      </c>
    </row>
    <row r="60" spans="1:15" x14ac:dyDescent="0.25">
      <c r="A60" s="57" t="s">
        <v>340</v>
      </c>
      <c r="B60" s="58">
        <v>45673</v>
      </c>
      <c r="C60" s="58" t="str">
        <f t="shared" si="0"/>
        <v>January</v>
      </c>
      <c r="D60" s="57" t="s">
        <v>211</v>
      </c>
      <c r="E60" s="57" t="s">
        <v>212</v>
      </c>
      <c r="F60" s="57" t="s">
        <v>105</v>
      </c>
      <c r="G60" s="57" t="s">
        <v>106</v>
      </c>
      <c r="H60" s="57" t="s">
        <v>46</v>
      </c>
      <c r="I60" s="57">
        <v>5</v>
      </c>
      <c r="J60" s="57">
        <v>299.99</v>
      </c>
      <c r="K60" s="57" t="s">
        <v>57</v>
      </c>
      <c r="L60" s="57" t="s">
        <v>21</v>
      </c>
      <c r="M60" s="57" t="s">
        <v>22</v>
      </c>
      <c r="N60" s="58">
        <v>44431</v>
      </c>
      <c r="O60" s="57">
        <v>1499.95</v>
      </c>
    </row>
    <row r="61" spans="1:15" x14ac:dyDescent="0.25">
      <c r="A61" s="57" t="s">
        <v>279</v>
      </c>
      <c r="B61" s="58">
        <v>45603</v>
      </c>
      <c r="C61" s="58" t="str">
        <f t="shared" si="0"/>
        <v>November</v>
      </c>
      <c r="D61" s="57" t="s">
        <v>99</v>
      </c>
      <c r="E61" s="57" t="s">
        <v>100</v>
      </c>
      <c r="F61" s="57" t="s">
        <v>117</v>
      </c>
      <c r="G61" s="57" t="s">
        <v>118</v>
      </c>
      <c r="H61" s="57" t="s">
        <v>19</v>
      </c>
      <c r="I61" s="57">
        <v>3</v>
      </c>
      <c r="J61" s="57">
        <v>89.99</v>
      </c>
      <c r="K61" s="57" t="s">
        <v>26</v>
      </c>
      <c r="L61" s="57" t="s">
        <v>40</v>
      </c>
      <c r="M61" s="57" t="s">
        <v>27</v>
      </c>
      <c r="N61" s="58">
        <v>44420</v>
      </c>
      <c r="O61" s="57">
        <v>269.97000000000003</v>
      </c>
    </row>
    <row r="62" spans="1:15" x14ac:dyDescent="0.25">
      <c r="A62" s="57" t="s">
        <v>168</v>
      </c>
      <c r="B62" s="58">
        <v>45460</v>
      </c>
      <c r="C62" s="58" t="str">
        <f t="shared" si="0"/>
        <v>June</v>
      </c>
      <c r="D62" s="57" t="s">
        <v>158</v>
      </c>
      <c r="E62" s="57" t="s">
        <v>159</v>
      </c>
      <c r="F62" s="57" t="s">
        <v>31</v>
      </c>
      <c r="G62" s="57" t="s">
        <v>32</v>
      </c>
      <c r="H62" s="57" t="s">
        <v>33</v>
      </c>
      <c r="I62" s="57">
        <v>1</v>
      </c>
      <c r="J62" s="57">
        <v>59.99</v>
      </c>
      <c r="K62" s="57" t="s">
        <v>57</v>
      </c>
      <c r="L62" s="57" t="s">
        <v>50</v>
      </c>
      <c r="M62" s="57" t="s">
        <v>27</v>
      </c>
      <c r="N62" s="58">
        <v>45190</v>
      </c>
      <c r="O62" s="57">
        <v>59.99</v>
      </c>
    </row>
    <row r="63" spans="1:15" x14ac:dyDescent="0.25">
      <c r="A63" s="57" t="s">
        <v>367</v>
      </c>
      <c r="B63" s="58">
        <v>45711</v>
      </c>
      <c r="C63" s="58" t="str">
        <f t="shared" si="0"/>
        <v>February</v>
      </c>
      <c r="D63" s="57" t="s">
        <v>211</v>
      </c>
      <c r="E63" s="57" t="s">
        <v>212</v>
      </c>
      <c r="F63" s="57" t="s">
        <v>117</v>
      </c>
      <c r="G63" s="57" t="s">
        <v>118</v>
      </c>
      <c r="H63" s="57" t="s">
        <v>19</v>
      </c>
      <c r="I63" s="57">
        <v>5</v>
      </c>
      <c r="J63" s="57">
        <v>89.99</v>
      </c>
      <c r="K63" s="57" t="s">
        <v>34</v>
      </c>
      <c r="L63" s="57" t="s">
        <v>50</v>
      </c>
      <c r="M63" s="57" t="s">
        <v>27</v>
      </c>
      <c r="N63" s="58">
        <v>45140</v>
      </c>
      <c r="O63" s="57">
        <v>449.95</v>
      </c>
    </row>
    <row r="64" spans="1:15" x14ac:dyDescent="0.25">
      <c r="A64" s="57" t="s">
        <v>119</v>
      </c>
      <c r="B64" s="58">
        <v>45425</v>
      </c>
      <c r="C64" s="58" t="str">
        <f t="shared" si="0"/>
        <v>May</v>
      </c>
      <c r="D64" s="57" t="s">
        <v>120</v>
      </c>
      <c r="E64" s="57" t="s">
        <v>121</v>
      </c>
      <c r="F64" s="57" t="s">
        <v>31</v>
      </c>
      <c r="G64" s="57" t="s">
        <v>32</v>
      </c>
      <c r="H64" s="57" t="s">
        <v>33</v>
      </c>
      <c r="I64" s="57">
        <v>2</v>
      </c>
      <c r="J64" s="57">
        <v>59.99</v>
      </c>
      <c r="K64" s="57" t="s">
        <v>57</v>
      </c>
      <c r="L64" s="57" t="s">
        <v>21</v>
      </c>
      <c r="M64" s="57" t="s">
        <v>36</v>
      </c>
      <c r="N64" s="58">
        <v>45214</v>
      </c>
      <c r="O64" s="57">
        <v>119.98</v>
      </c>
    </row>
    <row r="65" spans="1:15" x14ac:dyDescent="0.25">
      <c r="A65" s="57" t="s">
        <v>398</v>
      </c>
      <c r="B65" s="58">
        <v>45758</v>
      </c>
      <c r="C65" s="58" t="str">
        <f t="shared" si="0"/>
        <v>April</v>
      </c>
      <c r="D65" s="57" t="s">
        <v>138</v>
      </c>
      <c r="E65" s="57" t="s">
        <v>139</v>
      </c>
      <c r="F65" s="57" t="s">
        <v>117</v>
      </c>
      <c r="G65" s="57" t="s">
        <v>118</v>
      </c>
      <c r="H65" s="57" t="s">
        <v>19</v>
      </c>
      <c r="I65" s="57">
        <v>3</v>
      </c>
      <c r="J65" s="57">
        <v>89.99</v>
      </c>
      <c r="K65" s="57" t="s">
        <v>57</v>
      </c>
      <c r="L65" s="57" t="s">
        <v>40</v>
      </c>
      <c r="M65" s="57" t="s">
        <v>27</v>
      </c>
      <c r="N65" s="58">
        <v>44878</v>
      </c>
      <c r="O65" s="57">
        <v>269.97000000000003</v>
      </c>
    </row>
    <row r="66" spans="1:15" x14ac:dyDescent="0.25">
      <c r="A66" s="57" t="s">
        <v>210</v>
      </c>
      <c r="B66" s="58">
        <v>45509</v>
      </c>
      <c r="C66" s="58" t="str">
        <f t="shared" si="0"/>
        <v>August</v>
      </c>
      <c r="D66" s="57" t="s">
        <v>211</v>
      </c>
      <c r="E66" s="57" t="s">
        <v>212</v>
      </c>
      <c r="F66" s="57" t="s">
        <v>44</v>
      </c>
      <c r="G66" s="57" t="s">
        <v>45</v>
      </c>
      <c r="H66" s="57" t="s">
        <v>46</v>
      </c>
      <c r="I66" s="57">
        <v>2</v>
      </c>
      <c r="J66" s="57">
        <v>149.99</v>
      </c>
      <c r="K66" s="57" t="s">
        <v>26</v>
      </c>
      <c r="L66" s="57" t="s">
        <v>50</v>
      </c>
      <c r="M66" s="57" t="s">
        <v>22</v>
      </c>
      <c r="N66" s="58">
        <v>44542</v>
      </c>
      <c r="O66" s="57">
        <v>299.98</v>
      </c>
    </row>
    <row r="67" spans="1:15" x14ac:dyDescent="0.25">
      <c r="A67" s="57" t="s">
        <v>301</v>
      </c>
      <c r="B67" s="58">
        <v>45630</v>
      </c>
      <c r="C67" s="58" t="str">
        <f t="shared" ref="C67:C130" si="1">TEXT(B67,"mmmm")</f>
        <v>December</v>
      </c>
      <c r="D67" s="57" t="s">
        <v>48</v>
      </c>
      <c r="E67" s="57" t="s">
        <v>49</v>
      </c>
      <c r="F67" s="57" t="s">
        <v>80</v>
      </c>
      <c r="G67" s="57" t="s">
        <v>81</v>
      </c>
      <c r="H67" s="57" t="s">
        <v>19</v>
      </c>
      <c r="I67" s="57">
        <v>4</v>
      </c>
      <c r="J67" s="57">
        <v>699.99</v>
      </c>
      <c r="K67" s="57" t="s">
        <v>26</v>
      </c>
      <c r="L67" s="57" t="s">
        <v>40</v>
      </c>
      <c r="M67" s="57" t="s">
        <v>27</v>
      </c>
      <c r="N67" s="58">
        <v>44703</v>
      </c>
      <c r="O67" s="57">
        <v>2799.96</v>
      </c>
    </row>
    <row r="68" spans="1:15" x14ac:dyDescent="0.25">
      <c r="A68" s="57" t="s">
        <v>74</v>
      </c>
      <c r="B68" s="58">
        <v>45409</v>
      </c>
      <c r="C68" s="58" t="str">
        <f t="shared" si="1"/>
        <v>April</v>
      </c>
      <c r="D68" s="57" t="s">
        <v>75</v>
      </c>
      <c r="E68" s="57" t="s">
        <v>76</v>
      </c>
      <c r="F68" s="57" t="s">
        <v>31</v>
      </c>
      <c r="G68" s="57" t="s">
        <v>32</v>
      </c>
      <c r="H68" s="57" t="s">
        <v>33</v>
      </c>
      <c r="I68" s="57">
        <v>3</v>
      </c>
      <c r="J68" s="57">
        <v>59.99</v>
      </c>
      <c r="K68" s="57" t="s">
        <v>26</v>
      </c>
      <c r="L68" s="57" t="s">
        <v>40</v>
      </c>
      <c r="M68" s="57" t="s">
        <v>36</v>
      </c>
      <c r="N68" s="58">
        <v>45351</v>
      </c>
      <c r="O68" s="57">
        <v>179.97</v>
      </c>
    </row>
    <row r="69" spans="1:15" x14ac:dyDescent="0.25">
      <c r="A69" s="57" t="s">
        <v>392</v>
      </c>
      <c r="B69" s="58">
        <v>45748</v>
      </c>
      <c r="C69" s="58" t="str">
        <f t="shared" si="1"/>
        <v>April</v>
      </c>
      <c r="D69" s="57" t="s">
        <v>102</v>
      </c>
      <c r="E69" s="57" t="s">
        <v>103</v>
      </c>
      <c r="F69" s="57" t="s">
        <v>80</v>
      </c>
      <c r="G69" s="57" t="s">
        <v>81</v>
      </c>
      <c r="H69" s="57" t="s">
        <v>19</v>
      </c>
      <c r="I69" s="57">
        <v>2</v>
      </c>
      <c r="J69" s="57">
        <v>699.99</v>
      </c>
      <c r="K69" s="57" t="s">
        <v>34</v>
      </c>
      <c r="L69" s="57" t="s">
        <v>40</v>
      </c>
      <c r="M69" s="57" t="s">
        <v>36</v>
      </c>
      <c r="N69" s="58">
        <v>44618</v>
      </c>
      <c r="O69" s="57">
        <v>1399.98</v>
      </c>
    </row>
    <row r="70" spans="1:15" x14ac:dyDescent="0.25">
      <c r="A70" s="57" t="s">
        <v>349</v>
      </c>
      <c r="B70" s="58">
        <v>45688</v>
      </c>
      <c r="C70" s="58" t="str">
        <f t="shared" si="1"/>
        <v>January</v>
      </c>
      <c r="D70" s="57" t="s">
        <v>123</v>
      </c>
      <c r="E70" s="57" t="s">
        <v>124</v>
      </c>
      <c r="F70" s="57" t="s">
        <v>117</v>
      </c>
      <c r="G70" s="57" t="s">
        <v>118</v>
      </c>
      <c r="H70" s="57" t="s">
        <v>19</v>
      </c>
      <c r="I70" s="57">
        <v>2</v>
      </c>
      <c r="J70" s="57">
        <v>89.99</v>
      </c>
      <c r="K70" s="57" t="s">
        <v>57</v>
      </c>
      <c r="L70" s="57" t="s">
        <v>35</v>
      </c>
      <c r="M70" s="57" t="s">
        <v>22</v>
      </c>
      <c r="N70" s="58">
        <v>44777</v>
      </c>
      <c r="O70" s="57">
        <v>179.98</v>
      </c>
    </row>
    <row r="71" spans="1:15" x14ac:dyDescent="0.25">
      <c r="A71" s="57" t="s">
        <v>181</v>
      </c>
      <c r="B71" s="58">
        <v>45476</v>
      </c>
      <c r="C71" s="58" t="str">
        <f t="shared" si="1"/>
        <v>July</v>
      </c>
      <c r="D71" s="57" t="s">
        <v>182</v>
      </c>
      <c r="E71" s="57" t="s">
        <v>183</v>
      </c>
      <c r="F71" s="57" t="s">
        <v>114</v>
      </c>
      <c r="G71" s="57" t="s">
        <v>115</v>
      </c>
      <c r="H71" s="57" t="s">
        <v>33</v>
      </c>
      <c r="I71" s="57">
        <v>5</v>
      </c>
      <c r="J71" s="57">
        <v>79.989999999999995</v>
      </c>
      <c r="K71" s="57" t="s">
        <v>57</v>
      </c>
      <c r="L71" s="57" t="s">
        <v>21</v>
      </c>
      <c r="M71" s="57" t="s">
        <v>22</v>
      </c>
      <c r="N71" s="58">
        <v>44981</v>
      </c>
      <c r="O71" s="57">
        <v>399.95</v>
      </c>
    </row>
    <row r="72" spans="1:15" x14ac:dyDescent="0.25">
      <c r="A72" s="57" t="s">
        <v>107</v>
      </c>
      <c r="B72" s="58">
        <v>45422</v>
      </c>
      <c r="C72" s="58" t="str">
        <f t="shared" si="1"/>
        <v>May</v>
      </c>
      <c r="D72" s="57" t="s">
        <v>108</v>
      </c>
      <c r="E72" s="57" t="s">
        <v>109</v>
      </c>
      <c r="F72" s="57" t="s">
        <v>17</v>
      </c>
      <c r="G72" s="57" t="s">
        <v>18</v>
      </c>
      <c r="H72" s="57" t="s">
        <v>19</v>
      </c>
      <c r="I72" s="57">
        <v>5</v>
      </c>
      <c r="J72" s="57">
        <v>249.99</v>
      </c>
      <c r="K72" s="57" t="s">
        <v>26</v>
      </c>
      <c r="L72" s="57" t="s">
        <v>50</v>
      </c>
      <c r="M72" s="57" t="s">
        <v>36</v>
      </c>
      <c r="N72" s="58">
        <v>44525</v>
      </c>
      <c r="O72" s="57">
        <v>1249.95</v>
      </c>
    </row>
    <row r="73" spans="1:15" x14ac:dyDescent="0.25">
      <c r="A73" s="57" t="s">
        <v>341</v>
      </c>
      <c r="B73" s="58">
        <v>45673</v>
      </c>
      <c r="C73" s="58" t="str">
        <f t="shared" si="1"/>
        <v>January</v>
      </c>
      <c r="D73" s="57" t="s">
        <v>59</v>
      </c>
      <c r="E73" s="57" t="s">
        <v>60</v>
      </c>
      <c r="F73" s="57" t="s">
        <v>44</v>
      </c>
      <c r="G73" s="57" t="s">
        <v>45</v>
      </c>
      <c r="H73" s="57" t="s">
        <v>46</v>
      </c>
      <c r="I73" s="57">
        <v>3</v>
      </c>
      <c r="J73" s="57">
        <v>149.99</v>
      </c>
      <c r="K73" s="57" t="s">
        <v>26</v>
      </c>
      <c r="L73" s="57" t="s">
        <v>63</v>
      </c>
      <c r="M73" s="57" t="s">
        <v>36</v>
      </c>
      <c r="N73" s="58">
        <v>44395</v>
      </c>
      <c r="O73" s="57">
        <v>449.97</v>
      </c>
    </row>
    <row r="74" spans="1:15" x14ac:dyDescent="0.25">
      <c r="A74" s="57" t="s">
        <v>287</v>
      </c>
      <c r="B74" s="58">
        <v>45613</v>
      </c>
      <c r="C74" s="58" t="str">
        <f t="shared" si="1"/>
        <v>November</v>
      </c>
      <c r="D74" s="57" t="s">
        <v>234</v>
      </c>
      <c r="E74" s="57" t="s">
        <v>235</v>
      </c>
      <c r="F74" s="57" t="s">
        <v>44</v>
      </c>
      <c r="G74" s="57" t="s">
        <v>45</v>
      </c>
      <c r="H74" s="57" t="s">
        <v>46</v>
      </c>
      <c r="I74" s="57">
        <v>5</v>
      </c>
      <c r="J74" s="57">
        <v>149.99</v>
      </c>
      <c r="K74" s="57" t="s">
        <v>20</v>
      </c>
      <c r="L74" s="57" t="s">
        <v>40</v>
      </c>
      <c r="M74" s="57" t="s">
        <v>22</v>
      </c>
      <c r="N74" s="58">
        <v>44869</v>
      </c>
      <c r="O74" s="57">
        <v>749.95</v>
      </c>
    </row>
    <row r="75" spans="1:15" x14ac:dyDescent="0.25">
      <c r="A75" s="57" t="s">
        <v>237</v>
      </c>
      <c r="B75" s="58">
        <v>45537</v>
      </c>
      <c r="C75" s="58" t="str">
        <f t="shared" si="1"/>
        <v>September</v>
      </c>
      <c r="D75" s="57" t="s">
        <v>15</v>
      </c>
      <c r="E75" s="57" t="s">
        <v>16</v>
      </c>
      <c r="F75" s="57" t="s">
        <v>17</v>
      </c>
      <c r="G75" s="57" t="s">
        <v>18</v>
      </c>
      <c r="H75" s="57" t="s">
        <v>19</v>
      </c>
      <c r="I75" s="57">
        <v>1</v>
      </c>
      <c r="J75" s="57">
        <v>249.99</v>
      </c>
      <c r="K75" s="57" t="s">
        <v>57</v>
      </c>
      <c r="L75" s="57" t="s">
        <v>40</v>
      </c>
      <c r="M75" s="57" t="s">
        <v>27</v>
      </c>
      <c r="N75" s="58">
        <v>45332</v>
      </c>
      <c r="O75" s="57">
        <v>249.99</v>
      </c>
    </row>
    <row r="76" spans="1:15" x14ac:dyDescent="0.25">
      <c r="A76" s="57" t="s">
        <v>217</v>
      </c>
      <c r="B76" s="58">
        <v>45517</v>
      </c>
      <c r="C76" s="58" t="str">
        <f t="shared" si="1"/>
        <v>August</v>
      </c>
      <c r="D76" s="57" t="s">
        <v>185</v>
      </c>
      <c r="E76" s="57" t="s">
        <v>186</v>
      </c>
      <c r="F76" s="57" t="s">
        <v>17</v>
      </c>
      <c r="G76" s="57" t="s">
        <v>18</v>
      </c>
      <c r="H76" s="57" t="s">
        <v>19</v>
      </c>
      <c r="I76" s="57">
        <v>5</v>
      </c>
      <c r="J76" s="57">
        <v>249.99</v>
      </c>
      <c r="K76" s="57" t="s">
        <v>34</v>
      </c>
      <c r="L76" s="57" t="s">
        <v>63</v>
      </c>
      <c r="M76" s="57" t="s">
        <v>27</v>
      </c>
      <c r="N76" s="58">
        <v>44782</v>
      </c>
      <c r="O76" s="57">
        <v>1249.95</v>
      </c>
    </row>
    <row r="77" spans="1:15" x14ac:dyDescent="0.25">
      <c r="A77" s="57" t="s">
        <v>284</v>
      </c>
      <c r="B77" s="58">
        <v>45607</v>
      </c>
      <c r="C77" s="58" t="str">
        <f t="shared" si="1"/>
        <v>November</v>
      </c>
      <c r="D77" s="57" t="s">
        <v>99</v>
      </c>
      <c r="E77" s="57" t="s">
        <v>100</v>
      </c>
      <c r="F77" s="57" t="s">
        <v>17</v>
      </c>
      <c r="G77" s="57" t="s">
        <v>18</v>
      </c>
      <c r="H77" s="57" t="s">
        <v>19</v>
      </c>
      <c r="I77" s="57">
        <v>4</v>
      </c>
      <c r="J77" s="57">
        <v>249.99</v>
      </c>
      <c r="K77" s="57" t="s">
        <v>26</v>
      </c>
      <c r="L77" s="57" t="s">
        <v>50</v>
      </c>
      <c r="M77" s="57" t="s">
        <v>36</v>
      </c>
      <c r="N77" s="58">
        <v>44659</v>
      </c>
      <c r="O77" s="57">
        <v>999.96</v>
      </c>
    </row>
    <row r="78" spans="1:15" x14ac:dyDescent="0.25">
      <c r="A78" s="57" t="s">
        <v>250</v>
      </c>
      <c r="B78" s="58">
        <v>45554</v>
      </c>
      <c r="C78" s="58" t="str">
        <f t="shared" si="1"/>
        <v>September</v>
      </c>
      <c r="D78" s="57" t="s">
        <v>147</v>
      </c>
      <c r="E78" s="57" t="s">
        <v>148</v>
      </c>
      <c r="F78" s="57" t="s">
        <v>117</v>
      </c>
      <c r="G78" s="57" t="s">
        <v>118</v>
      </c>
      <c r="H78" s="57" t="s">
        <v>19</v>
      </c>
      <c r="I78" s="57">
        <v>5</v>
      </c>
      <c r="J78" s="57">
        <v>89.99</v>
      </c>
      <c r="K78" s="57" t="s">
        <v>26</v>
      </c>
      <c r="L78" s="57" t="s">
        <v>63</v>
      </c>
      <c r="M78" s="57" t="s">
        <v>27</v>
      </c>
      <c r="N78" s="58">
        <v>44446</v>
      </c>
      <c r="O78" s="57">
        <v>449.95</v>
      </c>
    </row>
    <row r="79" spans="1:15" x14ac:dyDescent="0.25">
      <c r="A79" s="57" t="s">
        <v>173</v>
      </c>
      <c r="B79" s="58">
        <v>45469</v>
      </c>
      <c r="C79" s="58" t="str">
        <f t="shared" si="1"/>
        <v>June</v>
      </c>
      <c r="D79" s="57" t="s">
        <v>29</v>
      </c>
      <c r="E79" s="57" t="s">
        <v>30</v>
      </c>
      <c r="F79" s="57" t="s">
        <v>114</v>
      </c>
      <c r="G79" s="57" t="s">
        <v>115</v>
      </c>
      <c r="H79" s="57" t="s">
        <v>33</v>
      </c>
      <c r="I79" s="57">
        <v>1</v>
      </c>
      <c r="J79" s="57">
        <v>79.989999999999995</v>
      </c>
      <c r="K79" s="57" t="s">
        <v>34</v>
      </c>
      <c r="L79" s="57" t="s">
        <v>21</v>
      </c>
      <c r="M79" s="57" t="s">
        <v>27</v>
      </c>
      <c r="N79" s="58">
        <v>45352</v>
      </c>
      <c r="O79" s="57">
        <v>79.989999999999995</v>
      </c>
    </row>
    <row r="80" spans="1:15" x14ac:dyDescent="0.25">
      <c r="A80" s="57" t="s">
        <v>272</v>
      </c>
      <c r="B80" s="58">
        <v>45586</v>
      </c>
      <c r="C80" s="58" t="str">
        <f t="shared" si="1"/>
        <v>October</v>
      </c>
      <c r="D80" s="57" t="s">
        <v>226</v>
      </c>
      <c r="E80" s="57" t="s">
        <v>227</v>
      </c>
      <c r="F80" s="57" t="s">
        <v>117</v>
      </c>
      <c r="G80" s="57" t="s">
        <v>118</v>
      </c>
      <c r="H80" s="57" t="s">
        <v>19</v>
      </c>
      <c r="I80" s="57">
        <v>3</v>
      </c>
      <c r="J80" s="57">
        <v>89.99</v>
      </c>
      <c r="K80" s="57" t="s">
        <v>34</v>
      </c>
      <c r="L80" s="57" t="s">
        <v>21</v>
      </c>
      <c r="M80" s="57" t="s">
        <v>22</v>
      </c>
      <c r="N80" s="58">
        <v>44551</v>
      </c>
      <c r="O80" s="57">
        <v>269.97000000000003</v>
      </c>
    </row>
    <row r="81" spans="1:15" x14ac:dyDescent="0.25">
      <c r="A81" s="57" t="s">
        <v>204</v>
      </c>
      <c r="B81" s="58">
        <v>45500</v>
      </c>
      <c r="C81" s="58" t="str">
        <f t="shared" si="1"/>
        <v>July</v>
      </c>
      <c r="D81" s="57" t="s">
        <v>96</v>
      </c>
      <c r="E81" s="57" t="s">
        <v>97</v>
      </c>
      <c r="F81" s="57" t="s">
        <v>17</v>
      </c>
      <c r="G81" s="57" t="s">
        <v>18</v>
      </c>
      <c r="H81" s="57" t="s">
        <v>19</v>
      </c>
      <c r="I81" s="57">
        <v>2</v>
      </c>
      <c r="J81" s="57">
        <v>249.99</v>
      </c>
      <c r="K81" s="57" t="s">
        <v>20</v>
      </c>
      <c r="L81" s="57" t="s">
        <v>40</v>
      </c>
      <c r="M81" s="57" t="s">
        <v>27</v>
      </c>
      <c r="N81" s="58">
        <v>45164</v>
      </c>
      <c r="O81" s="57">
        <v>499.98</v>
      </c>
    </row>
    <row r="82" spans="1:15" x14ac:dyDescent="0.25">
      <c r="A82" s="57" t="s">
        <v>309</v>
      </c>
      <c r="B82" s="58">
        <v>45641</v>
      </c>
      <c r="C82" s="58" t="str">
        <f t="shared" si="1"/>
        <v>December</v>
      </c>
      <c r="D82" s="57" t="s">
        <v>182</v>
      </c>
      <c r="E82" s="57" t="s">
        <v>183</v>
      </c>
      <c r="F82" s="57" t="s">
        <v>44</v>
      </c>
      <c r="G82" s="57" t="s">
        <v>45</v>
      </c>
      <c r="H82" s="57" t="s">
        <v>46</v>
      </c>
      <c r="I82" s="57">
        <v>1</v>
      </c>
      <c r="J82" s="57">
        <v>149.99</v>
      </c>
      <c r="K82" s="57" t="s">
        <v>57</v>
      </c>
      <c r="L82" s="57" t="s">
        <v>63</v>
      </c>
      <c r="M82" s="57" t="s">
        <v>36</v>
      </c>
      <c r="N82" s="58">
        <v>45200</v>
      </c>
      <c r="O82" s="57">
        <v>149.99</v>
      </c>
    </row>
    <row r="83" spans="1:15" x14ac:dyDescent="0.25">
      <c r="A83" s="57" t="s">
        <v>303</v>
      </c>
      <c r="B83" s="58">
        <v>45635</v>
      </c>
      <c r="C83" s="58" t="str">
        <f t="shared" si="1"/>
        <v>December</v>
      </c>
      <c r="D83" s="57" t="s">
        <v>304</v>
      </c>
      <c r="E83" s="57" t="s">
        <v>305</v>
      </c>
      <c r="F83" s="57" t="s">
        <v>31</v>
      </c>
      <c r="G83" s="57" t="s">
        <v>32</v>
      </c>
      <c r="H83" s="57" t="s">
        <v>33</v>
      </c>
      <c r="I83" s="57">
        <v>3</v>
      </c>
      <c r="J83" s="57">
        <v>59.99</v>
      </c>
      <c r="K83" s="57" t="s">
        <v>20</v>
      </c>
      <c r="L83" s="57" t="s">
        <v>21</v>
      </c>
      <c r="M83" s="57" t="s">
        <v>27</v>
      </c>
      <c r="N83" s="58">
        <v>45052</v>
      </c>
      <c r="O83" s="57">
        <v>179.97</v>
      </c>
    </row>
    <row r="84" spans="1:15" x14ac:dyDescent="0.25">
      <c r="A84" s="57" t="s">
        <v>363</v>
      </c>
      <c r="B84" s="58">
        <v>45710</v>
      </c>
      <c r="C84" s="58" t="str">
        <f t="shared" si="1"/>
        <v>February</v>
      </c>
      <c r="D84" s="57" t="s">
        <v>55</v>
      </c>
      <c r="E84" s="57" t="s">
        <v>56</v>
      </c>
      <c r="F84" s="57" t="s">
        <v>105</v>
      </c>
      <c r="G84" s="57" t="s">
        <v>106</v>
      </c>
      <c r="H84" s="57" t="s">
        <v>46</v>
      </c>
      <c r="I84" s="57">
        <v>5</v>
      </c>
      <c r="J84" s="57">
        <v>299.99</v>
      </c>
      <c r="K84" s="57" t="s">
        <v>20</v>
      </c>
      <c r="L84" s="57" t="s">
        <v>50</v>
      </c>
      <c r="M84" s="57" t="s">
        <v>36</v>
      </c>
      <c r="N84" s="58">
        <v>45142</v>
      </c>
      <c r="O84" s="57">
        <v>1499.95</v>
      </c>
    </row>
    <row r="85" spans="1:15" x14ac:dyDescent="0.25">
      <c r="A85" s="57" t="s">
        <v>332</v>
      </c>
      <c r="B85" s="58">
        <v>45668</v>
      </c>
      <c r="C85" s="58" t="str">
        <f t="shared" si="1"/>
        <v>January</v>
      </c>
      <c r="D85" s="57" t="s">
        <v>138</v>
      </c>
      <c r="E85" s="57" t="s">
        <v>139</v>
      </c>
      <c r="F85" s="57" t="s">
        <v>52</v>
      </c>
      <c r="G85" s="57" t="s">
        <v>53</v>
      </c>
      <c r="H85" s="57" t="s">
        <v>19</v>
      </c>
      <c r="I85" s="57">
        <v>4</v>
      </c>
      <c r="J85" s="57">
        <v>149.99</v>
      </c>
      <c r="K85" s="57" t="s">
        <v>57</v>
      </c>
      <c r="L85" s="57" t="s">
        <v>63</v>
      </c>
      <c r="M85" s="57" t="s">
        <v>36</v>
      </c>
      <c r="N85" s="58">
        <v>44536</v>
      </c>
      <c r="O85" s="57">
        <v>599.96</v>
      </c>
    </row>
    <row r="86" spans="1:15" x14ac:dyDescent="0.25">
      <c r="A86" s="57" t="s">
        <v>266</v>
      </c>
      <c r="B86" s="58">
        <v>45576</v>
      </c>
      <c r="C86" s="58" t="str">
        <f t="shared" si="1"/>
        <v>October</v>
      </c>
      <c r="D86" s="57" t="s">
        <v>147</v>
      </c>
      <c r="E86" s="57" t="s">
        <v>148</v>
      </c>
      <c r="F86" s="57" t="s">
        <v>105</v>
      </c>
      <c r="G86" s="57" t="s">
        <v>106</v>
      </c>
      <c r="H86" s="57" t="s">
        <v>46</v>
      </c>
      <c r="I86" s="57">
        <v>3</v>
      </c>
      <c r="J86" s="57">
        <v>299.99</v>
      </c>
      <c r="K86" s="57" t="s">
        <v>26</v>
      </c>
      <c r="L86" s="57" t="s">
        <v>21</v>
      </c>
      <c r="M86" s="57" t="s">
        <v>36</v>
      </c>
      <c r="N86" s="58">
        <v>45174</v>
      </c>
      <c r="O86" s="57">
        <v>899.97</v>
      </c>
    </row>
    <row r="87" spans="1:15" x14ac:dyDescent="0.25">
      <c r="A87" s="57" t="s">
        <v>184</v>
      </c>
      <c r="B87" s="58">
        <v>45481</v>
      </c>
      <c r="C87" s="58" t="str">
        <f t="shared" si="1"/>
        <v>July</v>
      </c>
      <c r="D87" s="57" t="s">
        <v>185</v>
      </c>
      <c r="E87" s="57" t="s">
        <v>186</v>
      </c>
      <c r="F87" s="57" t="s">
        <v>44</v>
      </c>
      <c r="G87" s="57" t="s">
        <v>45</v>
      </c>
      <c r="H87" s="57" t="s">
        <v>46</v>
      </c>
      <c r="I87" s="57">
        <v>1</v>
      </c>
      <c r="J87" s="57">
        <v>149.99</v>
      </c>
      <c r="K87" s="57" t="s">
        <v>34</v>
      </c>
      <c r="L87" s="57" t="s">
        <v>40</v>
      </c>
      <c r="M87" s="57" t="s">
        <v>22</v>
      </c>
      <c r="N87" s="58">
        <v>44421</v>
      </c>
      <c r="O87" s="57">
        <v>149.99</v>
      </c>
    </row>
    <row r="88" spans="1:15" x14ac:dyDescent="0.25">
      <c r="A88" s="57" t="s">
        <v>336</v>
      </c>
      <c r="B88" s="58">
        <v>45671</v>
      </c>
      <c r="C88" s="58" t="str">
        <f t="shared" si="1"/>
        <v>January</v>
      </c>
      <c r="D88" s="57" t="s">
        <v>158</v>
      </c>
      <c r="E88" s="57" t="s">
        <v>159</v>
      </c>
      <c r="F88" s="57" t="s">
        <v>17</v>
      </c>
      <c r="G88" s="57" t="s">
        <v>18</v>
      </c>
      <c r="H88" s="57" t="s">
        <v>19</v>
      </c>
      <c r="I88" s="57">
        <v>4</v>
      </c>
      <c r="J88" s="57">
        <v>249.99</v>
      </c>
      <c r="K88" s="57" t="s">
        <v>26</v>
      </c>
      <c r="L88" s="57" t="s">
        <v>40</v>
      </c>
      <c r="M88" s="57" t="s">
        <v>27</v>
      </c>
      <c r="N88" s="58">
        <v>44460</v>
      </c>
      <c r="O88" s="57">
        <v>999.96</v>
      </c>
    </row>
    <row r="89" spans="1:15" x14ac:dyDescent="0.25">
      <c r="A89" s="57" t="s">
        <v>164</v>
      </c>
      <c r="B89" s="58">
        <v>45456</v>
      </c>
      <c r="C89" s="58" t="str">
        <f t="shared" si="1"/>
        <v>June</v>
      </c>
      <c r="D89" s="57" t="s">
        <v>129</v>
      </c>
      <c r="E89" s="57" t="s">
        <v>130</v>
      </c>
      <c r="F89" s="57" t="s">
        <v>117</v>
      </c>
      <c r="G89" s="57" t="s">
        <v>118</v>
      </c>
      <c r="H89" s="57" t="s">
        <v>19</v>
      </c>
      <c r="I89" s="57">
        <v>5</v>
      </c>
      <c r="J89" s="57">
        <v>89.99</v>
      </c>
      <c r="K89" s="57" t="s">
        <v>20</v>
      </c>
      <c r="L89" s="57" t="s">
        <v>21</v>
      </c>
      <c r="M89" s="57" t="s">
        <v>27</v>
      </c>
      <c r="N89" s="58">
        <v>44579</v>
      </c>
      <c r="O89" s="57">
        <v>449.95</v>
      </c>
    </row>
    <row r="90" spans="1:15" x14ac:dyDescent="0.25">
      <c r="A90" s="57" t="s">
        <v>356</v>
      </c>
      <c r="B90" s="58">
        <v>45704</v>
      </c>
      <c r="C90" s="58" t="str">
        <f t="shared" si="1"/>
        <v>February</v>
      </c>
      <c r="D90" s="57" t="s">
        <v>29</v>
      </c>
      <c r="E90" s="57" t="s">
        <v>30</v>
      </c>
      <c r="F90" s="57" t="s">
        <v>126</v>
      </c>
      <c r="G90" s="57" t="s">
        <v>127</v>
      </c>
      <c r="H90" s="57" t="s">
        <v>46</v>
      </c>
      <c r="I90" s="57">
        <v>3</v>
      </c>
      <c r="J90" s="57">
        <v>199.99</v>
      </c>
      <c r="K90" s="57" t="s">
        <v>20</v>
      </c>
      <c r="L90" s="57" t="s">
        <v>21</v>
      </c>
      <c r="M90" s="57" t="s">
        <v>22</v>
      </c>
      <c r="N90" s="58">
        <v>44735</v>
      </c>
      <c r="O90" s="57">
        <v>599.97</v>
      </c>
    </row>
    <row r="91" spans="1:15" x14ac:dyDescent="0.25">
      <c r="A91" s="57" t="s">
        <v>281</v>
      </c>
      <c r="B91" s="58">
        <v>45605</v>
      </c>
      <c r="C91" s="58" t="str">
        <f t="shared" si="1"/>
        <v>November</v>
      </c>
      <c r="D91" s="57" t="s">
        <v>185</v>
      </c>
      <c r="E91" s="57" t="s">
        <v>186</v>
      </c>
      <c r="F91" s="57" t="s">
        <v>17</v>
      </c>
      <c r="G91" s="57" t="s">
        <v>18</v>
      </c>
      <c r="H91" s="57" t="s">
        <v>19</v>
      </c>
      <c r="I91" s="57">
        <v>1</v>
      </c>
      <c r="J91" s="57">
        <v>249.99</v>
      </c>
      <c r="K91" s="57" t="s">
        <v>26</v>
      </c>
      <c r="L91" s="57" t="s">
        <v>40</v>
      </c>
      <c r="M91" s="57" t="s">
        <v>27</v>
      </c>
      <c r="N91" s="58">
        <v>44828</v>
      </c>
      <c r="O91" s="57">
        <v>249.99</v>
      </c>
    </row>
    <row r="92" spans="1:15" x14ac:dyDescent="0.25">
      <c r="A92" s="57" t="s">
        <v>328</v>
      </c>
      <c r="B92" s="58">
        <v>45663</v>
      </c>
      <c r="C92" s="58" t="str">
        <f t="shared" si="1"/>
        <v>January</v>
      </c>
      <c r="D92" s="57" t="s">
        <v>42</v>
      </c>
      <c r="E92" s="57" t="s">
        <v>43</v>
      </c>
      <c r="F92" s="57" t="s">
        <v>105</v>
      </c>
      <c r="G92" s="57" t="s">
        <v>106</v>
      </c>
      <c r="H92" s="57" t="s">
        <v>46</v>
      </c>
      <c r="I92" s="57">
        <v>3</v>
      </c>
      <c r="J92" s="57">
        <v>299.99</v>
      </c>
      <c r="K92" s="57" t="s">
        <v>20</v>
      </c>
      <c r="L92" s="57" t="s">
        <v>35</v>
      </c>
      <c r="M92" s="57" t="s">
        <v>36</v>
      </c>
      <c r="N92" s="58">
        <v>44422</v>
      </c>
      <c r="O92" s="57">
        <v>899.97</v>
      </c>
    </row>
    <row r="93" spans="1:15" x14ac:dyDescent="0.25">
      <c r="A93" s="57" t="s">
        <v>47</v>
      </c>
      <c r="B93" s="58">
        <v>45403</v>
      </c>
      <c r="C93" s="58" t="str">
        <f t="shared" si="1"/>
        <v>April</v>
      </c>
      <c r="D93" s="57" t="s">
        <v>48</v>
      </c>
      <c r="E93" s="57" t="s">
        <v>49</v>
      </c>
      <c r="F93" s="57" t="s">
        <v>31</v>
      </c>
      <c r="G93" s="57" t="s">
        <v>32</v>
      </c>
      <c r="H93" s="57" t="s">
        <v>33</v>
      </c>
      <c r="I93" s="57">
        <v>2</v>
      </c>
      <c r="J93" s="57">
        <v>59.99</v>
      </c>
      <c r="K93" s="57" t="s">
        <v>20</v>
      </c>
      <c r="L93" s="57" t="s">
        <v>50</v>
      </c>
      <c r="M93" s="57" t="s">
        <v>36</v>
      </c>
      <c r="N93" s="58">
        <v>44746</v>
      </c>
      <c r="O93" s="57">
        <v>119.98</v>
      </c>
    </row>
    <row r="94" spans="1:15" x14ac:dyDescent="0.25">
      <c r="A94" s="57" t="s">
        <v>161</v>
      </c>
      <c r="B94" s="58">
        <v>45452</v>
      </c>
      <c r="C94" s="58" t="str">
        <f t="shared" si="1"/>
        <v>June</v>
      </c>
      <c r="D94" s="57" t="s">
        <v>162</v>
      </c>
      <c r="E94" s="57" t="s">
        <v>163</v>
      </c>
      <c r="F94" s="57" t="s">
        <v>31</v>
      </c>
      <c r="G94" s="57" t="s">
        <v>32</v>
      </c>
      <c r="H94" s="57" t="s">
        <v>33</v>
      </c>
      <c r="I94" s="57">
        <v>4</v>
      </c>
      <c r="J94" s="57">
        <v>59.99</v>
      </c>
      <c r="K94" s="57" t="s">
        <v>20</v>
      </c>
      <c r="L94" s="57" t="s">
        <v>63</v>
      </c>
      <c r="M94" s="57" t="s">
        <v>36</v>
      </c>
      <c r="N94" s="58">
        <v>44435</v>
      </c>
      <c r="O94" s="57">
        <v>239.96</v>
      </c>
    </row>
    <row r="95" spans="1:15" x14ac:dyDescent="0.25">
      <c r="A95" s="57" t="s">
        <v>297</v>
      </c>
      <c r="B95" s="58">
        <v>45627</v>
      </c>
      <c r="C95" s="58" t="str">
        <f t="shared" si="1"/>
        <v>December</v>
      </c>
      <c r="D95" s="57" t="s">
        <v>55</v>
      </c>
      <c r="E95" s="57" t="s">
        <v>56</v>
      </c>
      <c r="F95" s="57" t="s">
        <v>17</v>
      </c>
      <c r="G95" s="57" t="s">
        <v>18</v>
      </c>
      <c r="H95" s="57" t="s">
        <v>19</v>
      </c>
      <c r="I95" s="57">
        <v>5</v>
      </c>
      <c r="J95" s="57">
        <v>249.99</v>
      </c>
      <c r="K95" s="57" t="s">
        <v>20</v>
      </c>
      <c r="L95" s="57" t="s">
        <v>21</v>
      </c>
      <c r="M95" s="57" t="s">
        <v>27</v>
      </c>
      <c r="N95" s="58">
        <v>44485</v>
      </c>
      <c r="O95" s="57">
        <v>1249.95</v>
      </c>
    </row>
    <row r="96" spans="1:15" x14ac:dyDescent="0.25">
      <c r="A96" s="57" t="s">
        <v>273</v>
      </c>
      <c r="B96" s="58">
        <v>45588</v>
      </c>
      <c r="C96" s="58" t="str">
        <f t="shared" si="1"/>
        <v>October</v>
      </c>
      <c r="D96" s="57" t="s">
        <v>38</v>
      </c>
      <c r="E96" s="57" t="s">
        <v>39</v>
      </c>
      <c r="F96" s="57" t="s">
        <v>52</v>
      </c>
      <c r="G96" s="57" t="s">
        <v>53</v>
      </c>
      <c r="H96" s="57" t="s">
        <v>19</v>
      </c>
      <c r="I96" s="57">
        <v>2</v>
      </c>
      <c r="J96" s="57">
        <v>149.99</v>
      </c>
      <c r="K96" s="57" t="s">
        <v>34</v>
      </c>
      <c r="L96" s="57" t="s">
        <v>21</v>
      </c>
      <c r="M96" s="57" t="s">
        <v>22</v>
      </c>
      <c r="N96" s="58">
        <v>44473</v>
      </c>
      <c r="O96" s="57">
        <v>299.98</v>
      </c>
    </row>
    <row r="97" spans="1:15" x14ac:dyDescent="0.25">
      <c r="A97" s="57" t="s">
        <v>178</v>
      </c>
      <c r="B97" s="58">
        <v>45474</v>
      </c>
      <c r="C97" s="58" t="str">
        <f t="shared" si="1"/>
        <v>July</v>
      </c>
      <c r="D97" s="57" t="s">
        <v>132</v>
      </c>
      <c r="E97" s="57" t="s">
        <v>133</v>
      </c>
      <c r="F97" s="57" t="s">
        <v>117</v>
      </c>
      <c r="G97" s="57" t="s">
        <v>118</v>
      </c>
      <c r="H97" s="57" t="s">
        <v>19</v>
      </c>
      <c r="I97" s="57">
        <v>2</v>
      </c>
      <c r="J97" s="57">
        <v>89.99</v>
      </c>
      <c r="K97" s="57" t="s">
        <v>34</v>
      </c>
      <c r="L97" s="57" t="s">
        <v>21</v>
      </c>
      <c r="M97" s="57" t="s">
        <v>27</v>
      </c>
      <c r="N97" s="58">
        <v>45275</v>
      </c>
      <c r="O97" s="57">
        <v>179.98</v>
      </c>
    </row>
    <row r="98" spans="1:15" x14ac:dyDescent="0.25">
      <c r="A98" s="57" t="s">
        <v>194</v>
      </c>
      <c r="B98" s="58">
        <v>45487</v>
      </c>
      <c r="C98" s="58" t="str">
        <f t="shared" si="1"/>
        <v>July</v>
      </c>
      <c r="D98" s="57" t="s">
        <v>192</v>
      </c>
      <c r="E98" s="57" t="s">
        <v>193</v>
      </c>
      <c r="F98" s="57" t="s">
        <v>126</v>
      </c>
      <c r="G98" s="57" t="s">
        <v>127</v>
      </c>
      <c r="H98" s="57" t="s">
        <v>46</v>
      </c>
      <c r="I98" s="57">
        <v>2</v>
      </c>
      <c r="J98" s="57">
        <v>199.99</v>
      </c>
      <c r="K98" s="57" t="s">
        <v>20</v>
      </c>
      <c r="L98" s="57" t="s">
        <v>40</v>
      </c>
      <c r="M98" s="57" t="s">
        <v>22</v>
      </c>
      <c r="N98" s="58">
        <v>44541</v>
      </c>
      <c r="O98" s="57">
        <v>399.98</v>
      </c>
    </row>
    <row r="99" spans="1:15" x14ac:dyDescent="0.25">
      <c r="A99" s="57" t="s">
        <v>218</v>
      </c>
      <c r="B99" s="58">
        <v>45517</v>
      </c>
      <c r="C99" s="58" t="str">
        <f t="shared" si="1"/>
        <v>August</v>
      </c>
      <c r="D99" s="57" t="s">
        <v>65</v>
      </c>
      <c r="E99" s="57" t="s">
        <v>66</v>
      </c>
      <c r="F99" s="57" t="s">
        <v>17</v>
      </c>
      <c r="G99" s="57" t="s">
        <v>18</v>
      </c>
      <c r="H99" s="57" t="s">
        <v>19</v>
      </c>
      <c r="I99" s="57">
        <v>3</v>
      </c>
      <c r="J99" s="57">
        <v>249.99</v>
      </c>
      <c r="K99" s="57" t="s">
        <v>34</v>
      </c>
      <c r="L99" s="57" t="s">
        <v>40</v>
      </c>
      <c r="M99" s="57" t="s">
        <v>27</v>
      </c>
      <c r="N99" s="58">
        <v>44465</v>
      </c>
      <c r="O99" s="57">
        <v>749.97</v>
      </c>
    </row>
    <row r="100" spans="1:15" x14ac:dyDescent="0.25">
      <c r="A100" s="57" t="s">
        <v>236</v>
      </c>
      <c r="B100" s="58">
        <v>45537</v>
      </c>
      <c r="C100" s="58" t="str">
        <f t="shared" si="1"/>
        <v>September</v>
      </c>
      <c r="D100" s="57" t="s">
        <v>231</v>
      </c>
      <c r="E100" s="57" t="s">
        <v>232</v>
      </c>
      <c r="F100" s="57" t="s">
        <v>17</v>
      </c>
      <c r="G100" s="57" t="s">
        <v>18</v>
      </c>
      <c r="H100" s="57" t="s">
        <v>19</v>
      </c>
      <c r="I100" s="57">
        <v>1</v>
      </c>
      <c r="J100" s="57">
        <v>249.99</v>
      </c>
      <c r="K100" s="57" t="s">
        <v>26</v>
      </c>
      <c r="L100" s="57" t="s">
        <v>50</v>
      </c>
      <c r="M100" s="57" t="s">
        <v>27</v>
      </c>
      <c r="N100" s="58">
        <v>44685</v>
      </c>
      <c r="O100" s="57">
        <v>249.99</v>
      </c>
    </row>
    <row r="101" spans="1:15" x14ac:dyDescent="0.25">
      <c r="A101" s="57" t="s">
        <v>239</v>
      </c>
      <c r="B101" s="58">
        <v>45541</v>
      </c>
      <c r="C101" s="58" t="str">
        <f t="shared" si="1"/>
        <v>September</v>
      </c>
      <c r="D101" s="57" t="s">
        <v>138</v>
      </c>
      <c r="E101" s="57" t="s">
        <v>139</v>
      </c>
      <c r="F101" s="57" t="s">
        <v>31</v>
      </c>
      <c r="G101" s="57" t="s">
        <v>32</v>
      </c>
      <c r="H101" s="57" t="s">
        <v>33</v>
      </c>
      <c r="I101" s="57">
        <v>3</v>
      </c>
      <c r="J101" s="57">
        <v>59.99</v>
      </c>
      <c r="K101" s="57" t="s">
        <v>26</v>
      </c>
      <c r="L101" s="57" t="s">
        <v>21</v>
      </c>
      <c r="M101" s="57" t="s">
        <v>27</v>
      </c>
      <c r="N101" s="58">
        <v>44717</v>
      </c>
      <c r="O101" s="57">
        <v>179.97</v>
      </c>
    </row>
    <row r="102" spans="1:15" x14ac:dyDescent="0.25">
      <c r="A102" s="57" t="s">
        <v>214</v>
      </c>
      <c r="B102" s="58">
        <v>45513</v>
      </c>
      <c r="C102" s="58" t="str">
        <f t="shared" si="1"/>
        <v>August</v>
      </c>
      <c r="D102" s="57" t="s">
        <v>89</v>
      </c>
      <c r="E102" s="57" t="s">
        <v>90</v>
      </c>
      <c r="F102" s="57" t="s">
        <v>117</v>
      </c>
      <c r="G102" s="57" t="s">
        <v>118</v>
      </c>
      <c r="H102" s="57" t="s">
        <v>19</v>
      </c>
      <c r="I102" s="57">
        <v>1</v>
      </c>
      <c r="J102" s="57">
        <v>89.99</v>
      </c>
      <c r="K102" s="57" t="s">
        <v>26</v>
      </c>
      <c r="L102" s="57" t="s">
        <v>40</v>
      </c>
      <c r="M102" s="57" t="s">
        <v>36</v>
      </c>
      <c r="N102" s="58">
        <v>45393</v>
      </c>
      <c r="O102" s="57">
        <v>89.99</v>
      </c>
    </row>
    <row r="103" spans="1:15" x14ac:dyDescent="0.25">
      <c r="A103" s="57" t="s">
        <v>334</v>
      </c>
      <c r="B103" s="58">
        <v>45670</v>
      </c>
      <c r="C103" s="58" t="str">
        <f t="shared" si="1"/>
        <v>January</v>
      </c>
      <c r="D103" s="57" t="s">
        <v>293</v>
      </c>
      <c r="E103" s="57" t="s">
        <v>294</v>
      </c>
      <c r="F103" s="57" t="s">
        <v>114</v>
      </c>
      <c r="G103" s="57" t="s">
        <v>115</v>
      </c>
      <c r="H103" s="57" t="s">
        <v>33</v>
      </c>
      <c r="I103" s="57">
        <v>1</v>
      </c>
      <c r="J103" s="57">
        <v>79.989999999999995</v>
      </c>
      <c r="K103" s="57" t="s">
        <v>26</v>
      </c>
      <c r="L103" s="57" t="s">
        <v>35</v>
      </c>
      <c r="M103" s="57" t="s">
        <v>22</v>
      </c>
      <c r="N103" s="58">
        <v>45322</v>
      </c>
      <c r="O103" s="57">
        <v>79.989999999999995</v>
      </c>
    </row>
    <row r="104" spans="1:15" x14ac:dyDescent="0.25">
      <c r="A104" s="57" t="s">
        <v>397</v>
      </c>
      <c r="B104" s="58">
        <v>45758</v>
      </c>
      <c r="C104" s="58" t="str">
        <f t="shared" si="1"/>
        <v>April</v>
      </c>
      <c r="D104" s="57" t="s">
        <v>226</v>
      </c>
      <c r="E104" s="57" t="s">
        <v>227</v>
      </c>
      <c r="F104" s="57" t="s">
        <v>117</v>
      </c>
      <c r="G104" s="57" t="s">
        <v>118</v>
      </c>
      <c r="H104" s="57" t="s">
        <v>19</v>
      </c>
      <c r="I104" s="57">
        <v>2</v>
      </c>
      <c r="J104" s="57">
        <v>89.99</v>
      </c>
      <c r="K104" s="57" t="s">
        <v>57</v>
      </c>
      <c r="L104" s="57" t="s">
        <v>63</v>
      </c>
      <c r="M104" s="57" t="s">
        <v>22</v>
      </c>
      <c r="N104" s="58">
        <v>45088</v>
      </c>
      <c r="O104" s="57">
        <v>179.98</v>
      </c>
    </row>
    <row r="105" spans="1:15" x14ac:dyDescent="0.25">
      <c r="A105" s="57" t="s">
        <v>176</v>
      </c>
      <c r="B105" s="58">
        <v>45471</v>
      </c>
      <c r="C105" s="58" t="str">
        <f t="shared" si="1"/>
        <v>June</v>
      </c>
      <c r="D105" s="57" t="s">
        <v>99</v>
      </c>
      <c r="E105" s="57" t="s">
        <v>100</v>
      </c>
      <c r="F105" s="57" t="s">
        <v>61</v>
      </c>
      <c r="G105" s="57" t="s">
        <v>62</v>
      </c>
      <c r="H105" s="57" t="s">
        <v>19</v>
      </c>
      <c r="I105" s="57">
        <v>4</v>
      </c>
      <c r="J105" s="57">
        <v>899.99</v>
      </c>
      <c r="K105" s="57" t="s">
        <v>26</v>
      </c>
      <c r="L105" s="57" t="s">
        <v>63</v>
      </c>
      <c r="M105" s="57" t="s">
        <v>27</v>
      </c>
      <c r="N105" s="58">
        <v>44993</v>
      </c>
      <c r="O105" s="57">
        <v>3599.96</v>
      </c>
    </row>
    <row r="106" spans="1:15" x14ac:dyDescent="0.25">
      <c r="A106" s="57" t="s">
        <v>353</v>
      </c>
      <c r="B106" s="58">
        <v>45695</v>
      </c>
      <c r="C106" s="58" t="str">
        <f t="shared" si="1"/>
        <v>February</v>
      </c>
      <c r="D106" s="57" t="s">
        <v>93</v>
      </c>
      <c r="E106" s="57" t="s">
        <v>94</v>
      </c>
      <c r="F106" s="57" t="s">
        <v>105</v>
      </c>
      <c r="G106" s="57" t="s">
        <v>106</v>
      </c>
      <c r="H106" s="57" t="s">
        <v>46</v>
      </c>
      <c r="I106" s="57">
        <v>5</v>
      </c>
      <c r="J106" s="57">
        <v>299.99</v>
      </c>
      <c r="K106" s="57" t="s">
        <v>26</v>
      </c>
      <c r="L106" s="57" t="s">
        <v>35</v>
      </c>
      <c r="M106" s="57" t="s">
        <v>22</v>
      </c>
      <c r="N106" s="58">
        <v>44959</v>
      </c>
      <c r="O106" s="57">
        <v>1499.95</v>
      </c>
    </row>
    <row r="107" spans="1:15" x14ac:dyDescent="0.25">
      <c r="A107" s="57" t="s">
        <v>339</v>
      </c>
      <c r="B107" s="58">
        <v>45673</v>
      </c>
      <c r="C107" s="58" t="str">
        <f t="shared" si="1"/>
        <v>January</v>
      </c>
      <c r="D107" s="57" t="s">
        <v>226</v>
      </c>
      <c r="E107" s="57" t="s">
        <v>227</v>
      </c>
      <c r="F107" s="57" t="s">
        <v>126</v>
      </c>
      <c r="G107" s="57" t="s">
        <v>127</v>
      </c>
      <c r="H107" s="57" t="s">
        <v>46</v>
      </c>
      <c r="I107" s="57">
        <v>4</v>
      </c>
      <c r="J107" s="57">
        <v>199.99</v>
      </c>
      <c r="K107" s="57" t="s">
        <v>57</v>
      </c>
      <c r="L107" s="57" t="s">
        <v>35</v>
      </c>
      <c r="M107" s="57" t="s">
        <v>36</v>
      </c>
      <c r="N107" s="58">
        <v>44544</v>
      </c>
      <c r="O107" s="57">
        <v>799.96</v>
      </c>
    </row>
    <row r="108" spans="1:15" x14ac:dyDescent="0.25">
      <c r="A108" s="57" t="s">
        <v>337</v>
      </c>
      <c r="B108" s="58">
        <v>45671</v>
      </c>
      <c r="C108" s="58" t="str">
        <f t="shared" si="1"/>
        <v>January</v>
      </c>
      <c r="D108" s="57" t="s">
        <v>120</v>
      </c>
      <c r="E108" s="57" t="s">
        <v>121</v>
      </c>
      <c r="F108" s="57" t="s">
        <v>52</v>
      </c>
      <c r="G108" s="57" t="s">
        <v>53</v>
      </c>
      <c r="H108" s="57" t="s">
        <v>19</v>
      </c>
      <c r="I108" s="57">
        <v>2</v>
      </c>
      <c r="J108" s="57">
        <v>149.99</v>
      </c>
      <c r="K108" s="57" t="s">
        <v>20</v>
      </c>
      <c r="L108" s="57" t="s">
        <v>40</v>
      </c>
      <c r="M108" s="57" t="s">
        <v>36</v>
      </c>
      <c r="N108" s="58">
        <v>44913</v>
      </c>
      <c r="O108" s="57">
        <v>299.98</v>
      </c>
    </row>
    <row r="109" spans="1:15" x14ac:dyDescent="0.25">
      <c r="A109" s="57" t="s">
        <v>243</v>
      </c>
      <c r="B109" s="58">
        <v>45547</v>
      </c>
      <c r="C109" s="58" t="str">
        <f t="shared" si="1"/>
        <v>September</v>
      </c>
      <c r="D109" s="57" t="s">
        <v>48</v>
      </c>
      <c r="E109" s="57" t="s">
        <v>49</v>
      </c>
      <c r="F109" s="57" t="s">
        <v>105</v>
      </c>
      <c r="G109" s="57" t="s">
        <v>106</v>
      </c>
      <c r="H109" s="57" t="s">
        <v>46</v>
      </c>
      <c r="I109" s="57">
        <v>3</v>
      </c>
      <c r="J109" s="57">
        <v>299.99</v>
      </c>
      <c r="K109" s="57" t="s">
        <v>26</v>
      </c>
      <c r="L109" s="57" t="s">
        <v>21</v>
      </c>
      <c r="M109" s="57" t="s">
        <v>27</v>
      </c>
      <c r="N109" s="58">
        <v>44494</v>
      </c>
      <c r="O109" s="57">
        <v>899.97</v>
      </c>
    </row>
    <row r="110" spans="1:15" x14ac:dyDescent="0.25">
      <c r="A110" s="57" t="s">
        <v>280</v>
      </c>
      <c r="B110" s="58">
        <v>45604</v>
      </c>
      <c r="C110" s="58" t="str">
        <f t="shared" si="1"/>
        <v>November</v>
      </c>
      <c r="D110" s="57" t="s">
        <v>89</v>
      </c>
      <c r="E110" s="57" t="s">
        <v>90</v>
      </c>
      <c r="F110" s="57" t="s">
        <v>44</v>
      </c>
      <c r="G110" s="57" t="s">
        <v>45</v>
      </c>
      <c r="H110" s="57" t="s">
        <v>46</v>
      </c>
      <c r="I110" s="57">
        <v>2</v>
      </c>
      <c r="J110" s="57">
        <v>149.99</v>
      </c>
      <c r="K110" s="57" t="s">
        <v>26</v>
      </c>
      <c r="L110" s="57" t="s">
        <v>50</v>
      </c>
      <c r="M110" s="57" t="s">
        <v>27</v>
      </c>
      <c r="N110" s="58">
        <v>44848</v>
      </c>
      <c r="O110" s="57">
        <v>299.98</v>
      </c>
    </row>
    <row r="111" spans="1:15" x14ac:dyDescent="0.25">
      <c r="A111" s="57" t="s">
        <v>342</v>
      </c>
      <c r="B111" s="58">
        <v>45676</v>
      </c>
      <c r="C111" s="58" t="str">
        <f t="shared" si="1"/>
        <v>January</v>
      </c>
      <c r="D111" s="57" t="s">
        <v>129</v>
      </c>
      <c r="E111" s="57" t="s">
        <v>130</v>
      </c>
      <c r="F111" s="57" t="s">
        <v>31</v>
      </c>
      <c r="G111" s="57" t="s">
        <v>32</v>
      </c>
      <c r="H111" s="57" t="s">
        <v>33</v>
      </c>
      <c r="I111" s="57">
        <v>5</v>
      </c>
      <c r="J111" s="57">
        <v>59.99</v>
      </c>
      <c r="K111" s="57" t="s">
        <v>57</v>
      </c>
      <c r="L111" s="57" t="s">
        <v>63</v>
      </c>
      <c r="M111" s="57" t="s">
        <v>22</v>
      </c>
      <c r="N111" s="58">
        <v>44642</v>
      </c>
      <c r="O111" s="57">
        <v>299.95</v>
      </c>
    </row>
    <row r="112" spans="1:15" x14ac:dyDescent="0.25">
      <c r="A112" s="57" t="s">
        <v>251</v>
      </c>
      <c r="B112" s="58">
        <v>45554</v>
      </c>
      <c r="C112" s="58" t="str">
        <f t="shared" si="1"/>
        <v>September</v>
      </c>
      <c r="D112" s="57" t="s">
        <v>252</v>
      </c>
      <c r="E112" s="57" t="s">
        <v>253</v>
      </c>
      <c r="F112" s="57" t="s">
        <v>52</v>
      </c>
      <c r="G112" s="57" t="s">
        <v>53</v>
      </c>
      <c r="H112" s="57" t="s">
        <v>19</v>
      </c>
      <c r="I112" s="57">
        <v>1</v>
      </c>
      <c r="J112" s="57">
        <v>149.99</v>
      </c>
      <c r="K112" s="57" t="s">
        <v>34</v>
      </c>
      <c r="L112" s="57" t="s">
        <v>63</v>
      </c>
      <c r="M112" s="57" t="s">
        <v>36</v>
      </c>
      <c r="N112" s="58">
        <v>44482</v>
      </c>
      <c r="O112" s="57">
        <v>149.99</v>
      </c>
    </row>
    <row r="113" spans="1:15" x14ac:dyDescent="0.25">
      <c r="A113" s="57" t="s">
        <v>241</v>
      </c>
      <c r="B113" s="58">
        <v>45544</v>
      </c>
      <c r="C113" s="58" t="str">
        <f t="shared" si="1"/>
        <v>September</v>
      </c>
      <c r="D113" s="57" t="s">
        <v>141</v>
      </c>
      <c r="E113" s="57" t="s">
        <v>142</v>
      </c>
      <c r="F113" s="57" t="s">
        <v>114</v>
      </c>
      <c r="G113" s="57" t="s">
        <v>115</v>
      </c>
      <c r="H113" s="57" t="s">
        <v>33</v>
      </c>
      <c r="I113" s="57">
        <v>4</v>
      </c>
      <c r="J113" s="57">
        <v>79.989999999999995</v>
      </c>
      <c r="K113" s="57" t="s">
        <v>20</v>
      </c>
      <c r="L113" s="57" t="s">
        <v>40</v>
      </c>
      <c r="M113" s="57" t="s">
        <v>22</v>
      </c>
      <c r="N113" s="58">
        <v>44530</v>
      </c>
      <c r="O113" s="57">
        <v>319.95999999999998</v>
      </c>
    </row>
    <row r="114" spans="1:15" x14ac:dyDescent="0.25">
      <c r="A114" s="57" t="s">
        <v>187</v>
      </c>
      <c r="B114" s="58">
        <v>45481</v>
      </c>
      <c r="C114" s="58" t="str">
        <f t="shared" si="1"/>
        <v>July</v>
      </c>
      <c r="D114" s="57" t="s">
        <v>42</v>
      </c>
      <c r="E114" s="57" t="s">
        <v>43</v>
      </c>
      <c r="F114" s="57" t="s">
        <v>80</v>
      </c>
      <c r="G114" s="57" t="s">
        <v>81</v>
      </c>
      <c r="H114" s="57" t="s">
        <v>19</v>
      </c>
      <c r="I114" s="57">
        <v>2</v>
      </c>
      <c r="J114" s="57">
        <v>699.99</v>
      </c>
      <c r="K114" s="57" t="s">
        <v>34</v>
      </c>
      <c r="L114" s="57" t="s">
        <v>63</v>
      </c>
      <c r="M114" s="57" t="s">
        <v>27</v>
      </c>
      <c r="N114" s="58">
        <v>45389</v>
      </c>
      <c r="O114" s="57">
        <v>1399.98</v>
      </c>
    </row>
    <row r="115" spans="1:15" x14ac:dyDescent="0.25">
      <c r="A115" s="57" t="s">
        <v>188</v>
      </c>
      <c r="B115" s="58">
        <v>45481</v>
      </c>
      <c r="C115" s="58" t="str">
        <f t="shared" si="1"/>
        <v>July</v>
      </c>
      <c r="D115" s="57" t="s">
        <v>96</v>
      </c>
      <c r="E115" s="57" t="s">
        <v>97</v>
      </c>
      <c r="F115" s="57" t="s">
        <v>117</v>
      </c>
      <c r="G115" s="57" t="s">
        <v>118</v>
      </c>
      <c r="H115" s="57" t="s">
        <v>19</v>
      </c>
      <c r="I115" s="57">
        <v>5</v>
      </c>
      <c r="J115" s="57">
        <v>89.99</v>
      </c>
      <c r="K115" s="57" t="s">
        <v>57</v>
      </c>
      <c r="L115" s="57" t="s">
        <v>40</v>
      </c>
      <c r="M115" s="57" t="s">
        <v>27</v>
      </c>
      <c r="N115" s="58">
        <v>45161</v>
      </c>
      <c r="O115" s="57">
        <v>449.95</v>
      </c>
    </row>
    <row r="116" spans="1:15" x14ac:dyDescent="0.25">
      <c r="A116" s="57" t="s">
        <v>165</v>
      </c>
      <c r="B116" s="58">
        <v>45459</v>
      </c>
      <c r="C116" s="58" t="str">
        <f t="shared" si="1"/>
        <v>June</v>
      </c>
      <c r="D116" s="57" t="s">
        <v>99</v>
      </c>
      <c r="E116" s="57" t="s">
        <v>100</v>
      </c>
      <c r="F116" s="57" t="s">
        <v>117</v>
      </c>
      <c r="G116" s="57" t="s">
        <v>118</v>
      </c>
      <c r="H116" s="57" t="s">
        <v>19</v>
      </c>
      <c r="I116" s="57">
        <v>2</v>
      </c>
      <c r="J116" s="57">
        <v>89.99</v>
      </c>
      <c r="K116" s="57" t="s">
        <v>26</v>
      </c>
      <c r="L116" s="57" t="s">
        <v>35</v>
      </c>
      <c r="M116" s="57" t="s">
        <v>27</v>
      </c>
      <c r="N116" s="58">
        <v>44471</v>
      </c>
      <c r="O116" s="57">
        <v>179.98</v>
      </c>
    </row>
    <row r="117" spans="1:15" x14ac:dyDescent="0.25">
      <c r="A117" s="57" t="s">
        <v>395</v>
      </c>
      <c r="B117" s="58">
        <v>45756</v>
      </c>
      <c r="C117" s="58" t="str">
        <f t="shared" si="1"/>
        <v>April</v>
      </c>
      <c r="D117" s="57" t="s">
        <v>59</v>
      </c>
      <c r="E117" s="57" t="s">
        <v>60</v>
      </c>
      <c r="F117" s="57" t="s">
        <v>117</v>
      </c>
      <c r="G117" s="57" t="s">
        <v>118</v>
      </c>
      <c r="H117" s="57" t="s">
        <v>19</v>
      </c>
      <c r="I117" s="57">
        <v>1</v>
      </c>
      <c r="J117" s="57">
        <v>89.99</v>
      </c>
      <c r="K117" s="57" t="s">
        <v>57</v>
      </c>
      <c r="L117" s="57" t="s">
        <v>63</v>
      </c>
      <c r="M117" s="57" t="s">
        <v>22</v>
      </c>
      <c r="N117" s="58">
        <v>45346</v>
      </c>
      <c r="O117" s="57">
        <v>89.99</v>
      </c>
    </row>
    <row r="118" spans="1:15" x14ac:dyDescent="0.25">
      <c r="A118" s="57" t="s">
        <v>152</v>
      </c>
      <c r="B118" s="58">
        <v>45444</v>
      </c>
      <c r="C118" s="58" t="str">
        <f t="shared" si="1"/>
        <v>June</v>
      </c>
      <c r="D118" s="57" t="s">
        <v>55</v>
      </c>
      <c r="E118" s="57" t="s">
        <v>56</v>
      </c>
      <c r="F118" s="57" t="s">
        <v>117</v>
      </c>
      <c r="G118" s="57" t="s">
        <v>118</v>
      </c>
      <c r="H118" s="57" t="s">
        <v>19</v>
      </c>
      <c r="I118" s="57">
        <v>1</v>
      </c>
      <c r="J118" s="57">
        <v>89.99</v>
      </c>
      <c r="K118" s="57" t="s">
        <v>20</v>
      </c>
      <c r="L118" s="57" t="s">
        <v>40</v>
      </c>
      <c r="M118" s="57" t="s">
        <v>22</v>
      </c>
      <c r="N118" s="58">
        <v>45141</v>
      </c>
      <c r="O118" s="57">
        <v>89.99</v>
      </c>
    </row>
    <row r="119" spans="1:15" x14ac:dyDescent="0.25">
      <c r="A119" s="57" t="s">
        <v>358</v>
      </c>
      <c r="B119" s="58">
        <v>45705</v>
      </c>
      <c r="C119" s="58" t="str">
        <f t="shared" si="1"/>
        <v>February</v>
      </c>
      <c r="D119" s="57" t="s">
        <v>259</v>
      </c>
      <c r="E119" s="57" t="s">
        <v>260</v>
      </c>
      <c r="F119" s="57" t="s">
        <v>44</v>
      </c>
      <c r="G119" s="57" t="s">
        <v>45</v>
      </c>
      <c r="H119" s="57" t="s">
        <v>46</v>
      </c>
      <c r="I119" s="57">
        <v>2</v>
      </c>
      <c r="J119" s="57">
        <v>149.99</v>
      </c>
      <c r="K119" s="57" t="s">
        <v>20</v>
      </c>
      <c r="L119" s="57" t="s">
        <v>35</v>
      </c>
      <c r="M119" s="57" t="s">
        <v>27</v>
      </c>
      <c r="N119" s="58">
        <v>44728</v>
      </c>
      <c r="O119" s="57">
        <v>299.98</v>
      </c>
    </row>
    <row r="120" spans="1:15" x14ac:dyDescent="0.25">
      <c r="A120" s="57" t="s">
        <v>256</v>
      </c>
      <c r="B120" s="58">
        <v>45560</v>
      </c>
      <c r="C120" s="58" t="str">
        <f t="shared" si="1"/>
        <v>September</v>
      </c>
      <c r="D120" s="57" t="s">
        <v>112</v>
      </c>
      <c r="E120" s="57" t="s">
        <v>113</v>
      </c>
      <c r="F120" s="57" t="s">
        <v>44</v>
      </c>
      <c r="G120" s="57" t="s">
        <v>45</v>
      </c>
      <c r="H120" s="57" t="s">
        <v>46</v>
      </c>
      <c r="I120" s="57">
        <v>3</v>
      </c>
      <c r="J120" s="57">
        <v>149.99</v>
      </c>
      <c r="K120" s="57" t="s">
        <v>34</v>
      </c>
      <c r="L120" s="57" t="s">
        <v>63</v>
      </c>
      <c r="M120" s="57" t="s">
        <v>22</v>
      </c>
      <c r="N120" s="58">
        <v>44886</v>
      </c>
      <c r="O120" s="57">
        <v>449.97</v>
      </c>
    </row>
    <row r="121" spans="1:15" x14ac:dyDescent="0.25">
      <c r="A121" s="57" t="s">
        <v>396</v>
      </c>
      <c r="B121" s="58">
        <v>45758</v>
      </c>
      <c r="C121" s="58" t="str">
        <f t="shared" si="1"/>
        <v>April</v>
      </c>
      <c r="D121" s="57" t="s">
        <v>293</v>
      </c>
      <c r="E121" s="57" t="s">
        <v>294</v>
      </c>
      <c r="F121" s="57" t="s">
        <v>80</v>
      </c>
      <c r="G121" s="57" t="s">
        <v>81</v>
      </c>
      <c r="H121" s="57" t="s">
        <v>19</v>
      </c>
      <c r="I121" s="57">
        <v>3</v>
      </c>
      <c r="J121" s="57">
        <v>699.99</v>
      </c>
      <c r="K121" s="57" t="s">
        <v>34</v>
      </c>
      <c r="L121" s="57" t="s">
        <v>40</v>
      </c>
      <c r="M121" s="57" t="s">
        <v>22</v>
      </c>
      <c r="N121" s="58">
        <v>44909</v>
      </c>
      <c r="O121" s="57">
        <v>2099.9699999999998</v>
      </c>
    </row>
    <row r="122" spans="1:15" x14ac:dyDescent="0.25">
      <c r="A122" s="57" t="s">
        <v>157</v>
      </c>
      <c r="B122" s="58">
        <v>45449</v>
      </c>
      <c r="C122" s="58" t="str">
        <f t="shared" si="1"/>
        <v>June</v>
      </c>
      <c r="D122" s="57" t="s">
        <v>158</v>
      </c>
      <c r="E122" s="57" t="s">
        <v>159</v>
      </c>
      <c r="F122" s="57" t="s">
        <v>117</v>
      </c>
      <c r="G122" s="57" t="s">
        <v>118</v>
      </c>
      <c r="H122" s="57" t="s">
        <v>19</v>
      </c>
      <c r="I122" s="57">
        <v>1</v>
      </c>
      <c r="J122" s="57">
        <v>89.99</v>
      </c>
      <c r="K122" s="57" t="s">
        <v>26</v>
      </c>
      <c r="L122" s="57" t="s">
        <v>35</v>
      </c>
      <c r="M122" s="57" t="s">
        <v>36</v>
      </c>
      <c r="N122" s="58">
        <v>44582</v>
      </c>
      <c r="O122" s="57">
        <v>89.99</v>
      </c>
    </row>
    <row r="123" spans="1:15" x14ac:dyDescent="0.25">
      <c r="A123" s="57" t="s">
        <v>91</v>
      </c>
      <c r="B123" s="58">
        <v>45410</v>
      </c>
      <c r="C123" s="58" t="str">
        <f t="shared" si="1"/>
        <v>April</v>
      </c>
      <c r="D123" s="57" t="s">
        <v>86</v>
      </c>
      <c r="E123" s="57" t="s">
        <v>87</v>
      </c>
      <c r="F123" s="57" t="s">
        <v>61</v>
      </c>
      <c r="G123" s="57" t="s">
        <v>62</v>
      </c>
      <c r="H123" s="57" t="s">
        <v>19</v>
      </c>
      <c r="I123" s="57">
        <v>4</v>
      </c>
      <c r="J123" s="57">
        <v>899.99</v>
      </c>
      <c r="K123" s="57" t="s">
        <v>26</v>
      </c>
      <c r="L123" s="57" t="s">
        <v>50</v>
      </c>
      <c r="M123" s="57" t="s">
        <v>36</v>
      </c>
      <c r="N123" s="58">
        <v>45327</v>
      </c>
      <c r="O123" s="57">
        <v>3599.96</v>
      </c>
    </row>
    <row r="124" spans="1:15" x14ac:dyDescent="0.25">
      <c r="A124" s="57" t="s">
        <v>254</v>
      </c>
      <c r="B124" s="58">
        <v>45554</v>
      </c>
      <c r="C124" s="58" t="str">
        <f t="shared" si="1"/>
        <v>September</v>
      </c>
      <c r="D124" s="57" t="s">
        <v>72</v>
      </c>
      <c r="E124" s="57" t="s">
        <v>73</v>
      </c>
      <c r="F124" s="57" t="s">
        <v>80</v>
      </c>
      <c r="G124" s="57" t="s">
        <v>81</v>
      </c>
      <c r="H124" s="57" t="s">
        <v>19</v>
      </c>
      <c r="I124" s="57">
        <v>4</v>
      </c>
      <c r="J124" s="57">
        <v>699.99</v>
      </c>
      <c r="K124" s="57" t="s">
        <v>34</v>
      </c>
      <c r="L124" s="57" t="s">
        <v>35</v>
      </c>
      <c r="M124" s="57" t="s">
        <v>22</v>
      </c>
      <c r="N124" s="58">
        <v>44618</v>
      </c>
      <c r="O124" s="57">
        <v>2799.96</v>
      </c>
    </row>
    <row r="125" spans="1:15" x14ac:dyDescent="0.25">
      <c r="A125" s="57" t="s">
        <v>382</v>
      </c>
      <c r="B125" s="58">
        <v>45737</v>
      </c>
      <c r="C125" s="58" t="str">
        <f t="shared" si="1"/>
        <v>March</v>
      </c>
      <c r="D125" s="57" t="s">
        <v>150</v>
      </c>
      <c r="E125" s="57" t="s">
        <v>151</v>
      </c>
      <c r="F125" s="57" t="s">
        <v>61</v>
      </c>
      <c r="G125" s="57" t="s">
        <v>62</v>
      </c>
      <c r="H125" s="57" t="s">
        <v>19</v>
      </c>
      <c r="I125" s="57">
        <v>3</v>
      </c>
      <c r="J125" s="57">
        <v>899.99</v>
      </c>
      <c r="K125" s="57" t="s">
        <v>57</v>
      </c>
      <c r="L125" s="57" t="s">
        <v>40</v>
      </c>
      <c r="M125" s="57" t="s">
        <v>27</v>
      </c>
      <c r="N125" s="58">
        <v>44876</v>
      </c>
      <c r="O125" s="57">
        <v>2699.97</v>
      </c>
    </row>
    <row r="126" spans="1:15" x14ac:dyDescent="0.25">
      <c r="A126" s="57" t="s">
        <v>329</v>
      </c>
      <c r="B126" s="58">
        <v>45666</v>
      </c>
      <c r="C126" s="58" t="str">
        <f t="shared" si="1"/>
        <v>January</v>
      </c>
      <c r="D126" s="57" t="s">
        <v>65</v>
      </c>
      <c r="E126" s="57" t="s">
        <v>66</v>
      </c>
      <c r="F126" s="57" t="s">
        <v>80</v>
      </c>
      <c r="G126" s="57" t="s">
        <v>81</v>
      </c>
      <c r="H126" s="57" t="s">
        <v>19</v>
      </c>
      <c r="I126" s="57">
        <v>3</v>
      </c>
      <c r="J126" s="57">
        <v>699.99</v>
      </c>
      <c r="K126" s="57" t="s">
        <v>26</v>
      </c>
      <c r="L126" s="57" t="s">
        <v>21</v>
      </c>
      <c r="M126" s="57" t="s">
        <v>27</v>
      </c>
      <c r="N126" s="58">
        <v>45105</v>
      </c>
      <c r="O126" s="57">
        <v>2099.9699999999998</v>
      </c>
    </row>
    <row r="127" spans="1:15" x14ac:dyDescent="0.25">
      <c r="A127" s="57" t="s">
        <v>343</v>
      </c>
      <c r="B127" s="58">
        <v>45682</v>
      </c>
      <c r="C127" s="58" t="str">
        <f t="shared" si="1"/>
        <v>January</v>
      </c>
      <c r="D127" s="57" t="s">
        <v>68</v>
      </c>
      <c r="E127" s="57" t="s">
        <v>69</v>
      </c>
      <c r="F127" s="57" t="s">
        <v>31</v>
      </c>
      <c r="G127" s="57" t="s">
        <v>32</v>
      </c>
      <c r="H127" s="57" t="s">
        <v>33</v>
      </c>
      <c r="I127" s="57">
        <v>4</v>
      </c>
      <c r="J127" s="57">
        <v>59.99</v>
      </c>
      <c r="K127" s="57" t="s">
        <v>57</v>
      </c>
      <c r="L127" s="57" t="s">
        <v>63</v>
      </c>
      <c r="M127" s="57" t="s">
        <v>36</v>
      </c>
      <c r="N127" s="58">
        <v>44564</v>
      </c>
      <c r="O127" s="57">
        <v>239.96</v>
      </c>
    </row>
    <row r="128" spans="1:15" x14ac:dyDescent="0.25">
      <c r="A128" s="57" t="s">
        <v>177</v>
      </c>
      <c r="B128" s="58">
        <v>45472</v>
      </c>
      <c r="C128" s="58" t="str">
        <f t="shared" si="1"/>
        <v>June</v>
      </c>
      <c r="D128" s="57" t="s">
        <v>120</v>
      </c>
      <c r="E128" s="57" t="s">
        <v>121</v>
      </c>
      <c r="F128" s="57" t="s">
        <v>44</v>
      </c>
      <c r="G128" s="57" t="s">
        <v>45</v>
      </c>
      <c r="H128" s="57" t="s">
        <v>46</v>
      </c>
      <c r="I128" s="57">
        <v>1</v>
      </c>
      <c r="J128" s="57">
        <v>149.99</v>
      </c>
      <c r="K128" s="57" t="s">
        <v>34</v>
      </c>
      <c r="L128" s="57" t="s">
        <v>63</v>
      </c>
      <c r="M128" s="57" t="s">
        <v>22</v>
      </c>
      <c r="N128" s="58">
        <v>44851</v>
      </c>
      <c r="O128" s="57">
        <v>149.99</v>
      </c>
    </row>
    <row r="129" spans="1:15" x14ac:dyDescent="0.25">
      <c r="A129" s="57" t="s">
        <v>149</v>
      </c>
      <c r="B129" s="58">
        <v>45444</v>
      </c>
      <c r="C129" s="58" t="str">
        <f t="shared" si="1"/>
        <v>June</v>
      </c>
      <c r="D129" s="57" t="s">
        <v>150</v>
      </c>
      <c r="E129" s="57" t="s">
        <v>151</v>
      </c>
      <c r="F129" s="57" t="s">
        <v>31</v>
      </c>
      <c r="G129" s="57" t="s">
        <v>32</v>
      </c>
      <c r="H129" s="57" t="s">
        <v>33</v>
      </c>
      <c r="I129" s="57">
        <v>2</v>
      </c>
      <c r="J129" s="57">
        <v>59.99</v>
      </c>
      <c r="K129" s="57" t="s">
        <v>20</v>
      </c>
      <c r="L129" s="57" t="s">
        <v>50</v>
      </c>
      <c r="M129" s="57" t="s">
        <v>22</v>
      </c>
      <c r="N129" s="58">
        <v>45390</v>
      </c>
      <c r="O129" s="57">
        <v>119.98</v>
      </c>
    </row>
    <row r="130" spans="1:15" x14ac:dyDescent="0.25">
      <c r="A130" s="57" t="s">
        <v>258</v>
      </c>
      <c r="B130" s="58">
        <v>45564</v>
      </c>
      <c r="C130" s="58" t="str">
        <f t="shared" si="1"/>
        <v>September</v>
      </c>
      <c r="D130" s="57" t="s">
        <v>259</v>
      </c>
      <c r="E130" s="57" t="s">
        <v>260</v>
      </c>
      <c r="F130" s="57" t="s">
        <v>126</v>
      </c>
      <c r="G130" s="57" t="s">
        <v>127</v>
      </c>
      <c r="H130" s="57" t="s">
        <v>46</v>
      </c>
      <c r="I130" s="57">
        <v>1</v>
      </c>
      <c r="J130" s="57">
        <v>199.99</v>
      </c>
      <c r="K130" s="57" t="s">
        <v>57</v>
      </c>
      <c r="L130" s="57" t="s">
        <v>63</v>
      </c>
      <c r="M130" s="57" t="s">
        <v>36</v>
      </c>
      <c r="N130" s="58">
        <v>44953</v>
      </c>
      <c r="O130" s="57">
        <v>199.99</v>
      </c>
    </row>
    <row r="131" spans="1:15" x14ac:dyDescent="0.25">
      <c r="A131" s="57" t="s">
        <v>131</v>
      </c>
      <c r="B131" s="58">
        <v>45430</v>
      </c>
      <c r="C131" s="58" t="str">
        <f t="shared" ref="C131:C194" si="2">TEXT(B131,"mmmm")</f>
        <v>May</v>
      </c>
      <c r="D131" s="57" t="s">
        <v>132</v>
      </c>
      <c r="E131" s="57" t="s">
        <v>133</v>
      </c>
      <c r="F131" s="57" t="s">
        <v>44</v>
      </c>
      <c r="G131" s="57" t="s">
        <v>45</v>
      </c>
      <c r="H131" s="57" t="s">
        <v>46</v>
      </c>
      <c r="I131" s="57">
        <v>3</v>
      </c>
      <c r="J131" s="57">
        <v>149.99</v>
      </c>
      <c r="K131" s="57" t="s">
        <v>26</v>
      </c>
      <c r="L131" s="57" t="s">
        <v>50</v>
      </c>
      <c r="M131" s="57" t="s">
        <v>27</v>
      </c>
      <c r="N131" s="58">
        <v>45068</v>
      </c>
      <c r="O131" s="57">
        <v>449.97</v>
      </c>
    </row>
    <row r="132" spans="1:15" x14ac:dyDescent="0.25">
      <c r="A132" s="57" t="s">
        <v>199</v>
      </c>
      <c r="B132" s="58">
        <v>45491</v>
      </c>
      <c r="C132" s="58" t="str">
        <f t="shared" si="2"/>
        <v>July</v>
      </c>
      <c r="D132" s="57" t="s">
        <v>65</v>
      </c>
      <c r="E132" s="57" t="s">
        <v>66</v>
      </c>
      <c r="F132" s="57" t="s">
        <v>126</v>
      </c>
      <c r="G132" s="57" t="s">
        <v>127</v>
      </c>
      <c r="H132" s="57" t="s">
        <v>46</v>
      </c>
      <c r="I132" s="57">
        <v>3</v>
      </c>
      <c r="J132" s="57">
        <v>199.99</v>
      </c>
      <c r="K132" s="57" t="s">
        <v>20</v>
      </c>
      <c r="L132" s="57" t="s">
        <v>40</v>
      </c>
      <c r="M132" s="57" t="s">
        <v>27</v>
      </c>
      <c r="N132" s="58">
        <v>45254</v>
      </c>
      <c r="O132" s="57">
        <v>599.97</v>
      </c>
    </row>
    <row r="133" spans="1:15" x14ac:dyDescent="0.25">
      <c r="A133" s="57" t="s">
        <v>222</v>
      </c>
      <c r="B133" s="58">
        <v>45523</v>
      </c>
      <c r="C133" s="58" t="str">
        <f t="shared" si="2"/>
        <v>August</v>
      </c>
      <c r="D133" s="57" t="s">
        <v>196</v>
      </c>
      <c r="E133" s="57" t="s">
        <v>197</v>
      </c>
      <c r="F133" s="57" t="s">
        <v>61</v>
      </c>
      <c r="G133" s="57" t="s">
        <v>62</v>
      </c>
      <c r="H133" s="57" t="s">
        <v>19</v>
      </c>
      <c r="I133" s="57">
        <v>5</v>
      </c>
      <c r="J133" s="57">
        <v>899.99</v>
      </c>
      <c r="K133" s="57" t="s">
        <v>57</v>
      </c>
      <c r="L133" s="57" t="s">
        <v>63</v>
      </c>
      <c r="M133" s="57" t="s">
        <v>22</v>
      </c>
      <c r="N133" s="58">
        <v>44526</v>
      </c>
      <c r="O133" s="57">
        <v>4499.95</v>
      </c>
    </row>
    <row r="134" spans="1:15" x14ac:dyDescent="0.25">
      <c r="A134" s="57" t="s">
        <v>298</v>
      </c>
      <c r="B134" s="58">
        <v>45627</v>
      </c>
      <c r="C134" s="58" t="str">
        <f t="shared" si="2"/>
        <v>December</v>
      </c>
      <c r="D134" s="57" t="s">
        <v>24</v>
      </c>
      <c r="E134" s="57" t="s">
        <v>25</v>
      </c>
      <c r="F134" s="57" t="s">
        <v>52</v>
      </c>
      <c r="G134" s="57" t="s">
        <v>53</v>
      </c>
      <c r="H134" s="57" t="s">
        <v>19</v>
      </c>
      <c r="I134" s="57">
        <v>2</v>
      </c>
      <c r="J134" s="57">
        <v>149.99</v>
      </c>
      <c r="K134" s="57" t="s">
        <v>20</v>
      </c>
      <c r="L134" s="57" t="s">
        <v>35</v>
      </c>
      <c r="M134" s="57" t="s">
        <v>27</v>
      </c>
      <c r="N134" s="58">
        <v>44475</v>
      </c>
      <c r="O134" s="57">
        <v>299.98</v>
      </c>
    </row>
    <row r="135" spans="1:15" x14ac:dyDescent="0.25">
      <c r="A135" s="57" t="s">
        <v>88</v>
      </c>
      <c r="B135" s="58">
        <v>45410</v>
      </c>
      <c r="C135" s="58" t="str">
        <f t="shared" si="2"/>
        <v>April</v>
      </c>
      <c r="D135" s="57" t="s">
        <v>89</v>
      </c>
      <c r="E135" s="57" t="s">
        <v>90</v>
      </c>
      <c r="F135" s="57" t="s">
        <v>80</v>
      </c>
      <c r="G135" s="57" t="s">
        <v>81</v>
      </c>
      <c r="H135" s="57" t="s">
        <v>19</v>
      </c>
      <c r="I135" s="57">
        <v>2</v>
      </c>
      <c r="J135" s="57">
        <v>699.99</v>
      </c>
      <c r="K135" s="57" t="s">
        <v>20</v>
      </c>
      <c r="L135" s="57" t="s">
        <v>40</v>
      </c>
      <c r="M135" s="57" t="s">
        <v>22</v>
      </c>
      <c r="N135" s="58">
        <v>44781</v>
      </c>
      <c r="O135" s="57">
        <v>1399.98</v>
      </c>
    </row>
    <row r="136" spans="1:15" x14ac:dyDescent="0.25">
      <c r="A136" s="57" t="s">
        <v>58</v>
      </c>
      <c r="B136" s="58">
        <v>45405</v>
      </c>
      <c r="C136" s="58" t="str">
        <f t="shared" si="2"/>
        <v>April</v>
      </c>
      <c r="D136" s="57" t="s">
        <v>59</v>
      </c>
      <c r="E136" s="57" t="s">
        <v>60</v>
      </c>
      <c r="F136" s="57" t="s">
        <v>61</v>
      </c>
      <c r="G136" s="57" t="s">
        <v>62</v>
      </c>
      <c r="H136" s="57" t="s">
        <v>19</v>
      </c>
      <c r="I136" s="57">
        <v>3</v>
      </c>
      <c r="J136" s="57">
        <v>899.99</v>
      </c>
      <c r="K136" s="57" t="s">
        <v>34</v>
      </c>
      <c r="L136" s="57" t="s">
        <v>63</v>
      </c>
      <c r="M136" s="57" t="s">
        <v>36</v>
      </c>
      <c r="N136" s="58">
        <v>45299</v>
      </c>
      <c r="O136" s="57">
        <v>2699.97</v>
      </c>
    </row>
    <row r="137" spans="1:15" x14ac:dyDescent="0.25">
      <c r="A137" s="57" t="s">
        <v>189</v>
      </c>
      <c r="B137" s="58">
        <v>45482</v>
      </c>
      <c r="C137" s="58" t="str">
        <f t="shared" si="2"/>
        <v>July</v>
      </c>
      <c r="D137" s="57" t="s">
        <v>171</v>
      </c>
      <c r="E137" s="57" t="s">
        <v>172</v>
      </c>
      <c r="F137" s="57" t="s">
        <v>31</v>
      </c>
      <c r="G137" s="57" t="s">
        <v>32</v>
      </c>
      <c r="H137" s="57" t="s">
        <v>33</v>
      </c>
      <c r="I137" s="57">
        <v>4</v>
      </c>
      <c r="J137" s="57">
        <v>59.99</v>
      </c>
      <c r="K137" s="57" t="s">
        <v>20</v>
      </c>
      <c r="L137" s="57" t="s">
        <v>35</v>
      </c>
      <c r="M137" s="57" t="s">
        <v>36</v>
      </c>
      <c r="N137" s="58">
        <v>44509</v>
      </c>
      <c r="O137" s="57">
        <v>239.96</v>
      </c>
    </row>
    <row r="138" spans="1:15" x14ac:dyDescent="0.25">
      <c r="A138" s="57" t="s">
        <v>300</v>
      </c>
      <c r="B138" s="58">
        <v>45629</v>
      </c>
      <c r="C138" s="58" t="str">
        <f t="shared" si="2"/>
        <v>December</v>
      </c>
      <c r="D138" s="57" t="s">
        <v>252</v>
      </c>
      <c r="E138" s="57" t="s">
        <v>253</v>
      </c>
      <c r="F138" s="57" t="s">
        <v>17</v>
      </c>
      <c r="G138" s="57" t="s">
        <v>18</v>
      </c>
      <c r="H138" s="57" t="s">
        <v>19</v>
      </c>
      <c r="I138" s="57">
        <v>4</v>
      </c>
      <c r="J138" s="57">
        <v>249.99</v>
      </c>
      <c r="K138" s="57" t="s">
        <v>34</v>
      </c>
      <c r="L138" s="57" t="s">
        <v>63</v>
      </c>
      <c r="M138" s="57" t="s">
        <v>27</v>
      </c>
      <c r="N138" s="58">
        <v>45098</v>
      </c>
      <c r="O138" s="57">
        <v>999.96</v>
      </c>
    </row>
    <row r="139" spans="1:15" x14ac:dyDescent="0.25">
      <c r="A139" s="57" t="s">
        <v>67</v>
      </c>
      <c r="B139" s="58">
        <v>45408</v>
      </c>
      <c r="C139" s="58" t="str">
        <f t="shared" si="2"/>
        <v>April</v>
      </c>
      <c r="D139" s="57" t="s">
        <v>68</v>
      </c>
      <c r="E139" s="57" t="s">
        <v>69</v>
      </c>
      <c r="F139" s="57" t="s">
        <v>44</v>
      </c>
      <c r="G139" s="57" t="s">
        <v>45</v>
      </c>
      <c r="H139" s="57" t="s">
        <v>46</v>
      </c>
      <c r="I139" s="57">
        <v>1</v>
      </c>
      <c r="J139" s="57">
        <v>149.99</v>
      </c>
      <c r="K139" s="57" t="s">
        <v>26</v>
      </c>
      <c r="L139" s="57" t="s">
        <v>50</v>
      </c>
      <c r="M139" s="57" t="s">
        <v>36</v>
      </c>
      <c r="N139" s="58">
        <v>45103</v>
      </c>
      <c r="O139" s="57">
        <v>149.99</v>
      </c>
    </row>
    <row r="140" spans="1:15" x14ac:dyDescent="0.25">
      <c r="A140" s="57" t="s">
        <v>28</v>
      </c>
      <c r="B140" s="58">
        <v>45399</v>
      </c>
      <c r="C140" s="58" t="str">
        <f t="shared" si="2"/>
        <v>April</v>
      </c>
      <c r="D140" s="57" t="s">
        <v>29</v>
      </c>
      <c r="E140" s="57" t="s">
        <v>30</v>
      </c>
      <c r="F140" s="57" t="s">
        <v>31</v>
      </c>
      <c r="G140" s="57" t="s">
        <v>32</v>
      </c>
      <c r="H140" s="57" t="s">
        <v>33</v>
      </c>
      <c r="I140" s="57">
        <v>3</v>
      </c>
      <c r="J140" s="57">
        <v>59.99</v>
      </c>
      <c r="K140" s="57" t="s">
        <v>34</v>
      </c>
      <c r="L140" s="57" t="s">
        <v>35</v>
      </c>
      <c r="M140" s="57" t="s">
        <v>36</v>
      </c>
      <c r="N140" s="58">
        <v>45262</v>
      </c>
      <c r="O140" s="57">
        <v>179.97</v>
      </c>
    </row>
    <row r="141" spans="1:15" x14ac:dyDescent="0.25">
      <c r="A141" s="57" t="s">
        <v>221</v>
      </c>
      <c r="B141" s="58">
        <v>45522</v>
      </c>
      <c r="C141" s="58" t="str">
        <f t="shared" si="2"/>
        <v>August</v>
      </c>
      <c r="D141" s="57" t="s">
        <v>86</v>
      </c>
      <c r="E141" s="57" t="s">
        <v>87</v>
      </c>
      <c r="F141" s="57" t="s">
        <v>117</v>
      </c>
      <c r="G141" s="57" t="s">
        <v>118</v>
      </c>
      <c r="H141" s="57" t="s">
        <v>19</v>
      </c>
      <c r="I141" s="57">
        <v>2</v>
      </c>
      <c r="J141" s="57">
        <v>89.99</v>
      </c>
      <c r="K141" s="57" t="s">
        <v>20</v>
      </c>
      <c r="L141" s="57" t="s">
        <v>63</v>
      </c>
      <c r="M141" s="57" t="s">
        <v>27</v>
      </c>
      <c r="N141" s="58">
        <v>44972</v>
      </c>
      <c r="O141" s="57">
        <v>179.98</v>
      </c>
    </row>
    <row r="142" spans="1:15" x14ac:dyDescent="0.25">
      <c r="A142" s="57" t="s">
        <v>191</v>
      </c>
      <c r="B142" s="58">
        <v>45484</v>
      </c>
      <c r="C142" s="58" t="str">
        <f t="shared" si="2"/>
        <v>July</v>
      </c>
      <c r="D142" s="57" t="s">
        <v>192</v>
      </c>
      <c r="E142" s="57" t="s">
        <v>193</v>
      </c>
      <c r="F142" s="57" t="s">
        <v>105</v>
      </c>
      <c r="G142" s="57" t="s">
        <v>106</v>
      </c>
      <c r="H142" s="57" t="s">
        <v>46</v>
      </c>
      <c r="I142" s="57">
        <v>1</v>
      </c>
      <c r="J142" s="57">
        <v>299.99</v>
      </c>
      <c r="K142" s="57" t="s">
        <v>26</v>
      </c>
      <c r="L142" s="57" t="s">
        <v>40</v>
      </c>
      <c r="M142" s="57" t="s">
        <v>27</v>
      </c>
      <c r="N142" s="58">
        <v>44891</v>
      </c>
      <c r="O142" s="57">
        <v>299.99</v>
      </c>
    </row>
    <row r="143" spans="1:15" x14ac:dyDescent="0.25">
      <c r="A143" s="57" t="s">
        <v>240</v>
      </c>
      <c r="B143" s="58">
        <v>45544</v>
      </c>
      <c r="C143" s="58" t="str">
        <f t="shared" si="2"/>
        <v>September</v>
      </c>
      <c r="D143" s="57" t="s">
        <v>132</v>
      </c>
      <c r="E143" s="57" t="s">
        <v>133</v>
      </c>
      <c r="F143" s="57" t="s">
        <v>31</v>
      </c>
      <c r="G143" s="57" t="s">
        <v>32</v>
      </c>
      <c r="H143" s="57" t="s">
        <v>33</v>
      </c>
      <c r="I143" s="57">
        <v>3</v>
      </c>
      <c r="J143" s="57">
        <v>59.99</v>
      </c>
      <c r="K143" s="57" t="s">
        <v>34</v>
      </c>
      <c r="L143" s="57" t="s">
        <v>63</v>
      </c>
      <c r="M143" s="57" t="s">
        <v>36</v>
      </c>
      <c r="N143" s="58">
        <v>44748</v>
      </c>
      <c r="O143" s="57">
        <v>179.97</v>
      </c>
    </row>
    <row r="144" spans="1:15" x14ac:dyDescent="0.25">
      <c r="A144" s="57" t="s">
        <v>318</v>
      </c>
      <c r="B144" s="58">
        <v>45654</v>
      </c>
      <c r="C144" s="58" t="str">
        <f t="shared" si="2"/>
        <v>December</v>
      </c>
      <c r="D144" s="57" t="s">
        <v>42</v>
      </c>
      <c r="E144" s="57" t="s">
        <v>43</v>
      </c>
      <c r="F144" s="57" t="s">
        <v>105</v>
      </c>
      <c r="G144" s="57" t="s">
        <v>106</v>
      </c>
      <c r="H144" s="57" t="s">
        <v>46</v>
      </c>
      <c r="I144" s="57">
        <v>2</v>
      </c>
      <c r="J144" s="57">
        <v>299.99</v>
      </c>
      <c r="K144" s="57" t="s">
        <v>20</v>
      </c>
      <c r="L144" s="57" t="s">
        <v>50</v>
      </c>
      <c r="M144" s="57" t="s">
        <v>22</v>
      </c>
      <c r="N144" s="58">
        <v>44771</v>
      </c>
      <c r="O144" s="57">
        <v>599.98</v>
      </c>
    </row>
    <row r="145" spans="1:15" x14ac:dyDescent="0.25">
      <c r="A145" s="57" t="s">
        <v>393</v>
      </c>
      <c r="B145" s="58">
        <v>45749</v>
      </c>
      <c r="C145" s="58" t="str">
        <f t="shared" si="2"/>
        <v>April</v>
      </c>
      <c r="D145" s="57" t="s">
        <v>123</v>
      </c>
      <c r="E145" s="57" t="s">
        <v>124</v>
      </c>
      <c r="F145" s="57" t="s">
        <v>61</v>
      </c>
      <c r="G145" s="57" t="s">
        <v>62</v>
      </c>
      <c r="H145" s="57" t="s">
        <v>19</v>
      </c>
      <c r="I145" s="57">
        <v>3</v>
      </c>
      <c r="J145" s="57">
        <v>899.99</v>
      </c>
      <c r="K145" s="57" t="s">
        <v>20</v>
      </c>
      <c r="L145" s="57" t="s">
        <v>21</v>
      </c>
      <c r="M145" s="57" t="s">
        <v>36</v>
      </c>
      <c r="N145" s="58">
        <v>44953</v>
      </c>
      <c r="O145" s="57">
        <v>2699.97</v>
      </c>
    </row>
    <row r="146" spans="1:15" x14ac:dyDescent="0.25">
      <c r="A146" s="57" t="s">
        <v>290</v>
      </c>
      <c r="B146" s="58">
        <v>45619</v>
      </c>
      <c r="C146" s="58" t="str">
        <f t="shared" si="2"/>
        <v>November</v>
      </c>
      <c r="D146" s="57" t="s">
        <v>192</v>
      </c>
      <c r="E146" s="57" t="s">
        <v>193</v>
      </c>
      <c r="F146" s="57" t="s">
        <v>31</v>
      </c>
      <c r="G146" s="57" t="s">
        <v>32</v>
      </c>
      <c r="H146" s="57" t="s">
        <v>33</v>
      </c>
      <c r="I146" s="57">
        <v>1</v>
      </c>
      <c r="J146" s="57">
        <v>59.99</v>
      </c>
      <c r="K146" s="57" t="s">
        <v>57</v>
      </c>
      <c r="L146" s="57" t="s">
        <v>50</v>
      </c>
      <c r="M146" s="57" t="s">
        <v>36</v>
      </c>
      <c r="N146" s="58">
        <v>44560</v>
      </c>
      <c r="O146" s="57">
        <v>59.99</v>
      </c>
    </row>
    <row r="147" spans="1:15" x14ac:dyDescent="0.25">
      <c r="A147" s="57" t="s">
        <v>262</v>
      </c>
      <c r="B147" s="58">
        <v>45572</v>
      </c>
      <c r="C147" s="58" t="str">
        <f t="shared" si="2"/>
        <v>October</v>
      </c>
      <c r="D147" s="57" t="s">
        <v>89</v>
      </c>
      <c r="E147" s="57" t="s">
        <v>90</v>
      </c>
      <c r="F147" s="57" t="s">
        <v>31</v>
      </c>
      <c r="G147" s="57" t="s">
        <v>32</v>
      </c>
      <c r="H147" s="57" t="s">
        <v>33</v>
      </c>
      <c r="I147" s="57">
        <v>2</v>
      </c>
      <c r="J147" s="57">
        <v>59.99</v>
      </c>
      <c r="K147" s="57" t="s">
        <v>26</v>
      </c>
      <c r="L147" s="57" t="s">
        <v>21</v>
      </c>
      <c r="M147" s="57" t="s">
        <v>22</v>
      </c>
      <c r="N147" s="58">
        <v>44579</v>
      </c>
      <c r="O147" s="57">
        <v>119.98</v>
      </c>
    </row>
    <row r="148" spans="1:15" x14ac:dyDescent="0.25">
      <c r="A148" s="57" t="s">
        <v>321</v>
      </c>
      <c r="B148" s="58">
        <v>45655</v>
      </c>
      <c r="C148" s="58" t="str">
        <f t="shared" si="2"/>
        <v>December</v>
      </c>
      <c r="D148" s="57" t="s">
        <v>108</v>
      </c>
      <c r="E148" s="57" t="s">
        <v>109</v>
      </c>
      <c r="F148" s="57" t="s">
        <v>44</v>
      </c>
      <c r="G148" s="57" t="s">
        <v>45</v>
      </c>
      <c r="H148" s="57" t="s">
        <v>46</v>
      </c>
      <c r="I148" s="57">
        <v>5</v>
      </c>
      <c r="J148" s="57">
        <v>149.99</v>
      </c>
      <c r="K148" s="57" t="s">
        <v>20</v>
      </c>
      <c r="L148" s="57" t="s">
        <v>21</v>
      </c>
      <c r="M148" s="57" t="s">
        <v>27</v>
      </c>
      <c r="N148" s="58">
        <v>45347</v>
      </c>
      <c r="O148" s="57">
        <v>749.95</v>
      </c>
    </row>
    <row r="149" spans="1:15" x14ac:dyDescent="0.25">
      <c r="A149" s="57" t="s">
        <v>291</v>
      </c>
      <c r="B149" s="58">
        <v>45619</v>
      </c>
      <c r="C149" s="58" t="str">
        <f t="shared" si="2"/>
        <v>November</v>
      </c>
      <c r="D149" s="57" t="s">
        <v>154</v>
      </c>
      <c r="E149" s="57" t="s">
        <v>155</v>
      </c>
      <c r="F149" s="57" t="s">
        <v>80</v>
      </c>
      <c r="G149" s="57" t="s">
        <v>81</v>
      </c>
      <c r="H149" s="57" t="s">
        <v>19</v>
      </c>
      <c r="I149" s="57">
        <v>3</v>
      </c>
      <c r="J149" s="57">
        <v>699.99</v>
      </c>
      <c r="K149" s="57" t="s">
        <v>34</v>
      </c>
      <c r="L149" s="57" t="s">
        <v>50</v>
      </c>
      <c r="M149" s="57" t="s">
        <v>36</v>
      </c>
      <c r="N149" s="58">
        <v>44583</v>
      </c>
      <c r="O149" s="57">
        <v>2099.9699999999998</v>
      </c>
    </row>
    <row r="150" spans="1:15" x14ac:dyDescent="0.25">
      <c r="A150" s="57" t="s">
        <v>286</v>
      </c>
      <c r="B150" s="58">
        <v>45608</v>
      </c>
      <c r="C150" s="58" t="str">
        <f t="shared" si="2"/>
        <v>November</v>
      </c>
      <c r="D150" s="57" t="s">
        <v>83</v>
      </c>
      <c r="E150" s="57" t="s">
        <v>84</v>
      </c>
      <c r="F150" s="57" t="s">
        <v>31</v>
      </c>
      <c r="G150" s="57" t="s">
        <v>32</v>
      </c>
      <c r="H150" s="57" t="s">
        <v>33</v>
      </c>
      <c r="I150" s="57">
        <v>3</v>
      </c>
      <c r="J150" s="57">
        <v>59.99</v>
      </c>
      <c r="K150" s="57" t="s">
        <v>57</v>
      </c>
      <c r="L150" s="57" t="s">
        <v>35</v>
      </c>
      <c r="M150" s="57" t="s">
        <v>36</v>
      </c>
      <c r="N150" s="58">
        <v>45260</v>
      </c>
      <c r="O150" s="57">
        <v>179.97</v>
      </c>
    </row>
    <row r="151" spans="1:15" x14ac:dyDescent="0.25">
      <c r="A151" s="57" t="s">
        <v>169</v>
      </c>
      <c r="B151" s="58">
        <v>45460</v>
      </c>
      <c r="C151" s="58" t="str">
        <f t="shared" si="2"/>
        <v>June</v>
      </c>
      <c r="D151" s="57" t="s">
        <v>141</v>
      </c>
      <c r="E151" s="57" t="s">
        <v>142</v>
      </c>
      <c r="F151" s="57" t="s">
        <v>105</v>
      </c>
      <c r="G151" s="57" t="s">
        <v>106</v>
      </c>
      <c r="H151" s="57" t="s">
        <v>46</v>
      </c>
      <c r="I151" s="57">
        <v>2</v>
      </c>
      <c r="J151" s="57">
        <v>299.99</v>
      </c>
      <c r="K151" s="57" t="s">
        <v>57</v>
      </c>
      <c r="L151" s="57" t="s">
        <v>63</v>
      </c>
      <c r="M151" s="57" t="s">
        <v>36</v>
      </c>
      <c r="N151" s="58">
        <v>45253</v>
      </c>
      <c r="O151" s="57">
        <v>599.98</v>
      </c>
    </row>
    <row r="152" spans="1:15" x14ac:dyDescent="0.25">
      <c r="A152" s="57" t="s">
        <v>364</v>
      </c>
      <c r="B152" s="58">
        <v>45710</v>
      </c>
      <c r="C152" s="58" t="str">
        <f t="shared" si="2"/>
        <v>February</v>
      </c>
      <c r="D152" s="57" t="s">
        <v>150</v>
      </c>
      <c r="E152" s="57" t="s">
        <v>151</v>
      </c>
      <c r="F152" s="57" t="s">
        <v>80</v>
      </c>
      <c r="G152" s="57" t="s">
        <v>81</v>
      </c>
      <c r="H152" s="57" t="s">
        <v>19</v>
      </c>
      <c r="I152" s="57">
        <v>1</v>
      </c>
      <c r="J152" s="57">
        <v>699.99</v>
      </c>
      <c r="K152" s="57" t="s">
        <v>34</v>
      </c>
      <c r="L152" s="57" t="s">
        <v>50</v>
      </c>
      <c r="M152" s="57" t="s">
        <v>22</v>
      </c>
      <c r="N152" s="58">
        <v>44934</v>
      </c>
      <c r="O152" s="57">
        <v>699.99</v>
      </c>
    </row>
    <row r="153" spans="1:15" x14ac:dyDescent="0.25">
      <c r="A153" s="57" t="s">
        <v>388</v>
      </c>
      <c r="B153" s="58">
        <v>45743</v>
      </c>
      <c r="C153" s="58" t="str">
        <f t="shared" si="2"/>
        <v>March</v>
      </c>
      <c r="D153" s="57" t="s">
        <v>102</v>
      </c>
      <c r="E153" s="57" t="s">
        <v>103</v>
      </c>
      <c r="F153" s="57" t="s">
        <v>114</v>
      </c>
      <c r="G153" s="57" t="s">
        <v>115</v>
      </c>
      <c r="H153" s="57" t="s">
        <v>33</v>
      </c>
      <c r="I153" s="57">
        <v>4</v>
      </c>
      <c r="J153" s="57">
        <v>79.989999999999995</v>
      </c>
      <c r="K153" s="57" t="s">
        <v>26</v>
      </c>
      <c r="L153" s="57" t="s">
        <v>21</v>
      </c>
      <c r="M153" s="57" t="s">
        <v>22</v>
      </c>
      <c r="N153" s="58">
        <v>45288</v>
      </c>
      <c r="O153" s="57">
        <v>319.95999999999998</v>
      </c>
    </row>
    <row r="154" spans="1:15" x14ac:dyDescent="0.25">
      <c r="A154" s="57" t="s">
        <v>276</v>
      </c>
      <c r="B154" s="58">
        <v>45592</v>
      </c>
      <c r="C154" s="58" t="str">
        <f t="shared" si="2"/>
        <v>October</v>
      </c>
      <c r="D154" s="57" t="s">
        <v>171</v>
      </c>
      <c r="E154" s="57" t="s">
        <v>172</v>
      </c>
      <c r="F154" s="57" t="s">
        <v>117</v>
      </c>
      <c r="G154" s="57" t="s">
        <v>118</v>
      </c>
      <c r="H154" s="57" t="s">
        <v>19</v>
      </c>
      <c r="I154" s="57">
        <v>3</v>
      </c>
      <c r="J154" s="57">
        <v>89.99</v>
      </c>
      <c r="K154" s="57" t="s">
        <v>26</v>
      </c>
      <c r="L154" s="57" t="s">
        <v>40</v>
      </c>
      <c r="M154" s="57" t="s">
        <v>36</v>
      </c>
      <c r="N154" s="58">
        <v>44615</v>
      </c>
      <c r="O154" s="57">
        <v>269.97000000000003</v>
      </c>
    </row>
    <row r="155" spans="1:15" x14ac:dyDescent="0.25">
      <c r="A155" s="57" t="s">
        <v>166</v>
      </c>
      <c r="B155" s="58">
        <v>45459</v>
      </c>
      <c r="C155" s="58" t="str">
        <f t="shared" si="2"/>
        <v>June</v>
      </c>
      <c r="D155" s="57" t="s">
        <v>15</v>
      </c>
      <c r="E155" s="57" t="s">
        <v>16</v>
      </c>
      <c r="F155" s="57" t="s">
        <v>61</v>
      </c>
      <c r="G155" s="57" t="s">
        <v>62</v>
      </c>
      <c r="H155" s="57" t="s">
        <v>19</v>
      </c>
      <c r="I155" s="57">
        <v>5</v>
      </c>
      <c r="J155" s="57">
        <v>899.99</v>
      </c>
      <c r="K155" s="57" t="s">
        <v>26</v>
      </c>
      <c r="L155" s="57" t="s">
        <v>35</v>
      </c>
      <c r="M155" s="57" t="s">
        <v>36</v>
      </c>
      <c r="N155" s="58">
        <v>44974</v>
      </c>
      <c r="O155" s="57">
        <v>4499.95</v>
      </c>
    </row>
    <row r="156" spans="1:15" x14ac:dyDescent="0.25">
      <c r="A156" s="57" t="s">
        <v>14</v>
      </c>
      <c r="B156" s="58">
        <v>45393</v>
      </c>
      <c r="C156" s="58" t="str">
        <f t="shared" si="2"/>
        <v>April</v>
      </c>
      <c r="D156" s="57" t="s">
        <v>15</v>
      </c>
      <c r="E156" s="57" t="s">
        <v>16</v>
      </c>
      <c r="F156" s="57" t="s">
        <v>17</v>
      </c>
      <c r="G156" s="57" t="s">
        <v>18</v>
      </c>
      <c r="H156" s="57" t="s">
        <v>19</v>
      </c>
      <c r="I156" s="57">
        <v>3</v>
      </c>
      <c r="J156" s="57">
        <v>249.99</v>
      </c>
      <c r="K156" s="57" t="s">
        <v>20</v>
      </c>
      <c r="L156" s="57" t="s">
        <v>21</v>
      </c>
      <c r="M156" s="57" t="s">
        <v>22</v>
      </c>
      <c r="N156" s="58">
        <v>44425</v>
      </c>
      <c r="O156" s="57">
        <v>749.97</v>
      </c>
    </row>
    <row r="157" spans="1:15" x14ac:dyDescent="0.25">
      <c r="A157" s="57" t="s">
        <v>320</v>
      </c>
      <c r="B157" s="58">
        <v>45655</v>
      </c>
      <c r="C157" s="58" t="str">
        <f t="shared" si="2"/>
        <v>December</v>
      </c>
      <c r="D157" s="57" t="s">
        <v>59</v>
      </c>
      <c r="E157" s="57" t="s">
        <v>60</v>
      </c>
      <c r="F157" s="57" t="s">
        <v>117</v>
      </c>
      <c r="G157" s="57" t="s">
        <v>118</v>
      </c>
      <c r="H157" s="57" t="s">
        <v>19</v>
      </c>
      <c r="I157" s="57">
        <v>1</v>
      </c>
      <c r="J157" s="57">
        <v>89.99</v>
      </c>
      <c r="K157" s="57" t="s">
        <v>26</v>
      </c>
      <c r="L157" s="57" t="s">
        <v>35</v>
      </c>
      <c r="M157" s="57" t="s">
        <v>27</v>
      </c>
      <c r="N157" s="58">
        <v>44591</v>
      </c>
      <c r="O157" s="57">
        <v>89.99</v>
      </c>
    </row>
    <row r="158" spans="1:15" x14ac:dyDescent="0.25">
      <c r="A158" s="57" t="s">
        <v>206</v>
      </c>
      <c r="B158" s="58">
        <v>45501</v>
      </c>
      <c r="C158" s="58" t="str">
        <f t="shared" si="2"/>
        <v>July</v>
      </c>
      <c r="D158" s="57" t="s">
        <v>86</v>
      </c>
      <c r="E158" s="57" t="s">
        <v>87</v>
      </c>
      <c r="F158" s="57" t="s">
        <v>117</v>
      </c>
      <c r="G158" s="57" t="s">
        <v>118</v>
      </c>
      <c r="H158" s="57" t="s">
        <v>19</v>
      </c>
      <c r="I158" s="57">
        <v>2</v>
      </c>
      <c r="J158" s="57">
        <v>89.99</v>
      </c>
      <c r="K158" s="57" t="s">
        <v>34</v>
      </c>
      <c r="L158" s="57" t="s">
        <v>35</v>
      </c>
      <c r="M158" s="57" t="s">
        <v>22</v>
      </c>
      <c r="N158" s="58">
        <v>44976</v>
      </c>
      <c r="O158" s="57">
        <v>179.98</v>
      </c>
    </row>
    <row r="159" spans="1:15" x14ac:dyDescent="0.25">
      <c r="A159" s="57" t="s">
        <v>267</v>
      </c>
      <c r="B159" s="58">
        <v>45579</v>
      </c>
      <c r="C159" s="58" t="str">
        <f t="shared" si="2"/>
        <v>October</v>
      </c>
      <c r="D159" s="57" t="s">
        <v>83</v>
      </c>
      <c r="E159" s="57" t="s">
        <v>84</v>
      </c>
      <c r="F159" s="57" t="s">
        <v>61</v>
      </c>
      <c r="G159" s="57" t="s">
        <v>62</v>
      </c>
      <c r="H159" s="57" t="s">
        <v>19</v>
      </c>
      <c r="I159" s="57">
        <v>3</v>
      </c>
      <c r="J159" s="57">
        <v>899.99</v>
      </c>
      <c r="K159" s="57" t="s">
        <v>34</v>
      </c>
      <c r="L159" s="57" t="s">
        <v>50</v>
      </c>
      <c r="M159" s="57" t="s">
        <v>22</v>
      </c>
      <c r="N159" s="58">
        <v>45215</v>
      </c>
      <c r="O159" s="57">
        <v>2699.97</v>
      </c>
    </row>
    <row r="160" spans="1:15" x14ac:dyDescent="0.25">
      <c r="A160" s="57" t="s">
        <v>344</v>
      </c>
      <c r="B160" s="58">
        <v>45683</v>
      </c>
      <c r="C160" s="58" t="str">
        <f t="shared" si="2"/>
        <v>January</v>
      </c>
      <c r="D160" s="57" t="s">
        <v>48</v>
      </c>
      <c r="E160" s="57" t="s">
        <v>49</v>
      </c>
      <c r="F160" s="57" t="s">
        <v>17</v>
      </c>
      <c r="G160" s="57" t="s">
        <v>18</v>
      </c>
      <c r="H160" s="57" t="s">
        <v>19</v>
      </c>
      <c r="I160" s="57">
        <v>4</v>
      </c>
      <c r="J160" s="57">
        <v>249.99</v>
      </c>
      <c r="K160" s="57" t="s">
        <v>57</v>
      </c>
      <c r="L160" s="57" t="s">
        <v>21</v>
      </c>
      <c r="M160" s="57" t="s">
        <v>27</v>
      </c>
      <c r="N160" s="58">
        <v>45217</v>
      </c>
      <c r="O160" s="57">
        <v>999.96</v>
      </c>
    </row>
    <row r="161" spans="1:15" x14ac:dyDescent="0.25">
      <c r="A161" s="57" t="s">
        <v>289</v>
      </c>
      <c r="B161" s="58">
        <v>45617</v>
      </c>
      <c r="C161" s="58" t="str">
        <f t="shared" si="2"/>
        <v>November</v>
      </c>
      <c r="D161" s="57" t="s">
        <v>123</v>
      </c>
      <c r="E161" s="57" t="s">
        <v>124</v>
      </c>
      <c r="F161" s="57" t="s">
        <v>126</v>
      </c>
      <c r="G161" s="57" t="s">
        <v>127</v>
      </c>
      <c r="H161" s="57" t="s">
        <v>46</v>
      </c>
      <c r="I161" s="57">
        <v>4</v>
      </c>
      <c r="J161" s="57">
        <v>199.99</v>
      </c>
      <c r="K161" s="57" t="s">
        <v>57</v>
      </c>
      <c r="L161" s="57" t="s">
        <v>21</v>
      </c>
      <c r="M161" s="57" t="s">
        <v>27</v>
      </c>
      <c r="N161" s="58">
        <v>44427</v>
      </c>
      <c r="O161" s="57">
        <v>799.96</v>
      </c>
    </row>
    <row r="162" spans="1:15" x14ac:dyDescent="0.25">
      <c r="A162" s="57" t="s">
        <v>242</v>
      </c>
      <c r="B162" s="58">
        <v>45545</v>
      </c>
      <c r="C162" s="58" t="str">
        <f t="shared" si="2"/>
        <v>September</v>
      </c>
      <c r="D162" s="57" t="s">
        <v>55</v>
      </c>
      <c r="E162" s="57" t="s">
        <v>56</v>
      </c>
      <c r="F162" s="57" t="s">
        <v>114</v>
      </c>
      <c r="G162" s="57" t="s">
        <v>115</v>
      </c>
      <c r="H162" s="57" t="s">
        <v>33</v>
      </c>
      <c r="I162" s="57">
        <v>1</v>
      </c>
      <c r="J162" s="57">
        <v>79.989999999999995</v>
      </c>
      <c r="K162" s="57" t="s">
        <v>20</v>
      </c>
      <c r="L162" s="57" t="s">
        <v>50</v>
      </c>
      <c r="M162" s="57" t="s">
        <v>22</v>
      </c>
      <c r="N162" s="58">
        <v>44693</v>
      </c>
      <c r="O162" s="57">
        <v>79.989999999999995</v>
      </c>
    </row>
    <row r="163" spans="1:15" x14ac:dyDescent="0.25">
      <c r="A163" s="57" t="s">
        <v>200</v>
      </c>
      <c r="B163" s="58">
        <v>45496</v>
      </c>
      <c r="C163" s="58" t="str">
        <f t="shared" si="2"/>
        <v>July</v>
      </c>
      <c r="D163" s="57" t="s">
        <v>150</v>
      </c>
      <c r="E163" s="57" t="s">
        <v>151</v>
      </c>
      <c r="F163" s="57" t="s">
        <v>61</v>
      </c>
      <c r="G163" s="57" t="s">
        <v>62</v>
      </c>
      <c r="H163" s="57" t="s">
        <v>19</v>
      </c>
      <c r="I163" s="57">
        <v>1</v>
      </c>
      <c r="J163" s="57">
        <v>899.99</v>
      </c>
      <c r="K163" s="57" t="s">
        <v>20</v>
      </c>
      <c r="L163" s="57" t="s">
        <v>21</v>
      </c>
      <c r="M163" s="57" t="s">
        <v>36</v>
      </c>
      <c r="N163" s="58">
        <v>45179</v>
      </c>
      <c r="O163" s="57">
        <v>899.99</v>
      </c>
    </row>
    <row r="164" spans="1:15" x14ac:dyDescent="0.25">
      <c r="A164" s="57" t="s">
        <v>313</v>
      </c>
      <c r="B164" s="58">
        <v>45645</v>
      </c>
      <c r="C164" s="58" t="str">
        <f t="shared" si="2"/>
        <v>December</v>
      </c>
      <c r="D164" s="57" t="s">
        <v>147</v>
      </c>
      <c r="E164" s="57" t="s">
        <v>148</v>
      </c>
      <c r="F164" s="57" t="s">
        <v>61</v>
      </c>
      <c r="G164" s="57" t="s">
        <v>62</v>
      </c>
      <c r="H164" s="57" t="s">
        <v>19</v>
      </c>
      <c r="I164" s="57">
        <v>5</v>
      </c>
      <c r="J164" s="57">
        <v>899.99</v>
      </c>
      <c r="K164" s="57" t="s">
        <v>57</v>
      </c>
      <c r="L164" s="57" t="s">
        <v>63</v>
      </c>
      <c r="M164" s="57" t="s">
        <v>36</v>
      </c>
      <c r="N164" s="58">
        <v>44625</v>
      </c>
      <c r="O164" s="57">
        <v>4499.95</v>
      </c>
    </row>
    <row r="165" spans="1:15" x14ac:dyDescent="0.25">
      <c r="A165" s="57" t="s">
        <v>315</v>
      </c>
      <c r="B165" s="58">
        <v>45648</v>
      </c>
      <c r="C165" s="58" t="str">
        <f t="shared" si="2"/>
        <v>December</v>
      </c>
      <c r="D165" s="57" t="s">
        <v>112</v>
      </c>
      <c r="E165" s="57" t="s">
        <v>113</v>
      </c>
      <c r="F165" s="57" t="s">
        <v>52</v>
      </c>
      <c r="G165" s="57" t="s">
        <v>53</v>
      </c>
      <c r="H165" s="57" t="s">
        <v>19</v>
      </c>
      <c r="I165" s="57">
        <v>2</v>
      </c>
      <c r="J165" s="57">
        <v>149.99</v>
      </c>
      <c r="K165" s="57" t="s">
        <v>57</v>
      </c>
      <c r="L165" s="57" t="s">
        <v>50</v>
      </c>
      <c r="M165" s="57" t="s">
        <v>27</v>
      </c>
      <c r="N165" s="58">
        <v>45280</v>
      </c>
      <c r="O165" s="57">
        <v>299.98</v>
      </c>
    </row>
    <row r="166" spans="1:15" x14ac:dyDescent="0.25">
      <c r="A166" s="57" t="s">
        <v>319</v>
      </c>
      <c r="B166" s="58">
        <v>45654</v>
      </c>
      <c r="C166" s="58" t="str">
        <f t="shared" si="2"/>
        <v>December</v>
      </c>
      <c r="D166" s="57" t="s">
        <v>120</v>
      </c>
      <c r="E166" s="57" t="s">
        <v>121</v>
      </c>
      <c r="F166" s="57" t="s">
        <v>126</v>
      </c>
      <c r="G166" s="57" t="s">
        <v>127</v>
      </c>
      <c r="H166" s="57" t="s">
        <v>46</v>
      </c>
      <c r="I166" s="57">
        <v>4</v>
      </c>
      <c r="J166" s="57">
        <v>199.99</v>
      </c>
      <c r="K166" s="57" t="s">
        <v>26</v>
      </c>
      <c r="L166" s="57" t="s">
        <v>21</v>
      </c>
      <c r="M166" s="57" t="s">
        <v>22</v>
      </c>
      <c r="N166" s="58">
        <v>44523</v>
      </c>
      <c r="O166" s="57">
        <v>799.96</v>
      </c>
    </row>
    <row r="167" spans="1:15" x14ac:dyDescent="0.25">
      <c r="A167" s="57" t="s">
        <v>350</v>
      </c>
      <c r="B167" s="58">
        <v>45688</v>
      </c>
      <c r="C167" s="58" t="str">
        <f t="shared" si="2"/>
        <v>January</v>
      </c>
      <c r="D167" s="57" t="s">
        <v>42</v>
      </c>
      <c r="E167" s="57" t="s">
        <v>43</v>
      </c>
      <c r="F167" s="57" t="s">
        <v>117</v>
      </c>
      <c r="G167" s="57" t="s">
        <v>118</v>
      </c>
      <c r="H167" s="57" t="s">
        <v>19</v>
      </c>
      <c r="I167" s="57">
        <v>3</v>
      </c>
      <c r="J167" s="57">
        <v>89.99</v>
      </c>
      <c r="K167" s="57" t="s">
        <v>57</v>
      </c>
      <c r="L167" s="57" t="s">
        <v>35</v>
      </c>
      <c r="M167" s="57" t="s">
        <v>27</v>
      </c>
      <c r="N167" s="58">
        <v>45307</v>
      </c>
      <c r="O167" s="57">
        <v>269.97000000000003</v>
      </c>
    </row>
    <row r="168" spans="1:15" x14ac:dyDescent="0.25">
      <c r="A168" s="57" t="s">
        <v>275</v>
      </c>
      <c r="B168" s="58">
        <v>45589</v>
      </c>
      <c r="C168" s="58" t="str">
        <f t="shared" si="2"/>
        <v>October</v>
      </c>
      <c r="D168" s="57" t="s">
        <v>158</v>
      </c>
      <c r="E168" s="57" t="s">
        <v>159</v>
      </c>
      <c r="F168" s="57" t="s">
        <v>80</v>
      </c>
      <c r="G168" s="57" t="s">
        <v>81</v>
      </c>
      <c r="H168" s="57" t="s">
        <v>19</v>
      </c>
      <c r="I168" s="57">
        <v>5</v>
      </c>
      <c r="J168" s="57">
        <v>699.99</v>
      </c>
      <c r="K168" s="57" t="s">
        <v>20</v>
      </c>
      <c r="L168" s="57" t="s">
        <v>40</v>
      </c>
      <c r="M168" s="57" t="s">
        <v>27</v>
      </c>
      <c r="N168" s="58">
        <v>44635</v>
      </c>
      <c r="O168" s="57">
        <v>3499.95</v>
      </c>
    </row>
    <row r="169" spans="1:15" x14ac:dyDescent="0.25">
      <c r="A169" s="57" t="s">
        <v>360</v>
      </c>
      <c r="B169" s="58">
        <v>45707</v>
      </c>
      <c r="C169" s="58" t="str">
        <f t="shared" si="2"/>
        <v>February</v>
      </c>
      <c r="D169" s="57" t="s">
        <v>42</v>
      </c>
      <c r="E169" s="57" t="s">
        <v>43</v>
      </c>
      <c r="F169" s="57" t="s">
        <v>44</v>
      </c>
      <c r="G169" s="57" t="s">
        <v>45</v>
      </c>
      <c r="H169" s="57" t="s">
        <v>46</v>
      </c>
      <c r="I169" s="57">
        <v>3</v>
      </c>
      <c r="J169" s="57">
        <v>149.99</v>
      </c>
      <c r="K169" s="57" t="s">
        <v>34</v>
      </c>
      <c r="L169" s="57" t="s">
        <v>21</v>
      </c>
      <c r="M169" s="57" t="s">
        <v>36</v>
      </c>
      <c r="N169" s="58">
        <v>44633</v>
      </c>
      <c r="O169" s="57">
        <v>449.97</v>
      </c>
    </row>
    <row r="170" spans="1:15" x14ac:dyDescent="0.25">
      <c r="A170" s="57" t="s">
        <v>195</v>
      </c>
      <c r="B170" s="58">
        <v>45490</v>
      </c>
      <c r="C170" s="58" t="str">
        <f t="shared" si="2"/>
        <v>July</v>
      </c>
      <c r="D170" s="57" t="s">
        <v>196</v>
      </c>
      <c r="E170" s="57" t="s">
        <v>197</v>
      </c>
      <c r="F170" s="57" t="s">
        <v>31</v>
      </c>
      <c r="G170" s="57" t="s">
        <v>32</v>
      </c>
      <c r="H170" s="57" t="s">
        <v>33</v>
      </c>
      <c r="I170" s="57">
        <v>3</v>
      </c>
      <c r="J170" s="57">
        <v>59.99</v>
      </c>
      <c r="K170" s="57" t="s">
        <v>26</v>
      </c>
      <c r="L170" s="57" t="s">
        <v>50</v>
      </c>
      <c r="M170" s="57" t="s">
        <v>22</v>
      </c>
      <c r="N170" s="58">
        <v>45130</v>
      </c>
      <c r="O170" s="57">
        <v>179.97</v>
      </c>
    </row>
    <row r="171" spans="1:15" x14ac:dyDescent="0.25">
      <c r="A171" s="57" t="s">
        <v>230</v>
      </c>
      <c r="B171" s="58">
        <v>45532</v>
      </c>
      <c r="C171" s="58" t="str">
        <f t="shared" si="2"/>
        <v>August</v>
      </c>
      <c r="D171" s="57" t="s">
        <v>231</v>
      </c>
      <c r="E171" s="57" t="s">
        <v>232</v>
      </c>
      <c r="F171" s="57" t="s">
        <v>52</v>
      </c>
      <c r="G171" s="57" t="s">
        <v>53</v>
      </c>
      <c r="H171" s="57" t="s">
        <v>19</v>
      </c>
      <c r="I171" s="57">
        <v>3</v>
      </c>
      <c r="J171" s="57">
        <v>149.99</v>
      </c>
      <c r="K171" s="57" t="s">
        <v>20</v>
      </c>
      <c r="L171" s="57" t="s">
        <v>50</v>
      </c>
      <c r="M171" s="57" t="s">
        <v>27</v>
      </c>
      <c r="N171" s="58">
        <v>45212</v>
      </c>
      <c r="O171" s="57">
        <v>449.97</v>
      </c>
    </row>
    <row r="172" spans="1:15" x14ac:dyDescent="0.25">
      <c r="A172" s="57" t="s">
        <v>317</v>
      </c>
      <c r="B172" s="58">
        <v>45649</v>
      </c>
      <c r="C172" s="58" t="str">
        <f t="shared" si="2"/>
        <v>December</v>
      </c>
      <c r="D172" s="57" t="s">
        <v>29</v>
      </c>
      <c r="E172" s="57" t="s">
        <v>30</v>
      </c>
      <c r="F172" s="57" t="s">
        <v>105</v>
      </c>
      <c r="G172" s="57" t="s">
        <v>106</v>
      </c>
      <c r="H172" s="57" t="s">
        <v>46</v>
      </c>
      <c r="I172" s="57">
        <v>2</v>
      </c>
      <c r="J172" s="57">
        <v>299.99</v>
      </c>
      <c r="K172" s="57" t="s">
        <v>34</v>
      </c>
      <c r="L172" s="57" t="s">
        <v>35</v>
      </c>
      <c r="M172" s="57" t="s">
        <v>22</v>
      </c>
      <c r="N172" s="58">
        <v>44721</v>
      </c>
      <c r="O172" s="57">
        <v>599.98</v>
      </c>
    </row>
    <row r="173" spans="1:15" x14ac:dyDescent="0.25">
      <c r="A173" s="57" t="s">
        <v>283</v>
      </c>
      <c r="B173" s="58">
        <v>45607</v>
      </c>
      <c r="C173" s="58" t="str">
        <f t="shared" si="2"/>
        <v>November</v>
      </c>
      <c r="D173" s="57" t="s">
        <v>15</v>
      </c>
      <c r="E173" s="57" t="s">
        <v>16</v>
      </c>
      <c r="F173" s="57" t="s">
        <v>31</v>
      </c>
      <c r="G173" s="57" t="s">
        <v>32</v>
      </c>
      <c r="H173" s="57" t="s">
        <v>33</v>
      </c>
      <c r="I173" s="57">
        <v>5</v>
      </c>
      <c r="J173" s="57">
        <v>59.99</v>
      </c>
      <c r="K173" s="57" t="s">
        <v>34</v>
      </c>
      <c r="L173" s="57" t="s">
        <v>50</v>
      </c>
      <c r="M173" s="57" t="s">
        <v>27</v>
      </c>
      <c r="N173" s="58">
        <v>44694</v>
      </c>
      <c r="O173" s="57">
        <v>299.95</v>
      </c>
    </row>
    <row r="174" spans="1:15" x14ac:dyDescent="0.25">
      <c r="A174" s="57" t="s">
        <v>268</v>
      </c>
      <c r="B174" s="58">
        <v>45581</v>
      </c>
      <c r="C174" s="58" t="str">
        <f t="shared" si="2"/>
        <v>October</v>
      </c>
      <c r="D174" s="57" t="s">
        <v>96</v>
      </c>
      <c r="E174" s="57" t="s">
        <v>97</v>
      </c>
      <c r="F174" s="57" t="s">
        <v>80</v>
      </c>
      <c r="G174" s="57" t="s">
        <v>81</v>
      </c>
      <c r="H174" s="57" t="s">
        <v>19</v>
      </c>
      <c r="I174" s="57">
        <v>5</v>
      </c>
      <c r="J174" s="57">
        <v>699.99</v>
      </c>
      <c r="K174" s="57" t="s">
        <v>20</v>
      </c>
      <c r="L174" s="57" t="s">
        <v>63</v>
      </c>
      <c r="M174" s="57" t="s">
        <v>36</v>
      </c>
      <c r="N174" s="58">
        <v>45008</v>
      </c>
      <c r="O174" s="57">
        <v>3499.95</v>
      </c>
    </row>
    <row r="175" spans="1:15" x14ac:dyDescent="0.25">
      <c r="A175" s="57" t="s">
        <v>261</v>
      </c>
      <c r="B175" s="58">
        <v>45566</v>
      </c>
      <c r="C175" s="58" t="str">
        <f t="shared" si="2"/>
        <v>October</v>
      </c>
      <c r="D175" s="57" t="s">
        <v>42</v>
      </c>
      <c r="E175" s="57" t="s">
        <v>43</v>
      </c>
      <c r="F175" s="57" t="s">
        <v>105</v>
      </c>
      <c r="G175" s="57" t="s">
        <v>106</v>
      </c>
      <c r="H175" s="57" t="s">
        <v>46</v>
      </c>
      <c r="I175" s="57">
        <v>4</v>
      </c>
      <c r="J175" s="57">
        <v>299.99</v>
      </c>
      <c r="K175" s="57" t="s">
        <v>20</v>
      </c>
      <c r="L175" s="57" t="s">
        <v>21</v>
      </c>
      <c r="M175" s="57" t="s">
        <v>27</v>
      </c>
      <c r="N175" s="58">
        <v>44460</v>
      </c>
      <c r="O175" s="57">
        <v>1199.96</v>
      </c>
    </row>
    <row r="176" spans="1:15" x14ac:dyDescent="0.25">
      <c r="A176" s="57" t="s">
        <v>375</v>
      </c>
      <c r="B176" s="58">
        <v>45723</v>
      </c>
      <c r="C176" s="58" t="str">
        <f t="shared" si="2"/>
        <v>March</v>
      </c>
      <c r="D176" s="57" t="s">
        <v>120</v>
      </c>
      <c r="E176" s="57" t="s">
        <v>121</v>
      </c>
      <c r="F176" s="57" t="s">
        <v>17</v>
      </c>
      <c r="G176" s="57" t="s">
        <v>18</v>
      </c>
      <c r="H176" s="57" t="s">
        <v>19</v>
      </c>
      <c r="I176" s="57">
        <v>5</v>
      </c>
      <c r="J176" s="57">
        <v>249.99</v>
      </c>
      <c r="K176" s="57" t="s">
        <v>20</v>
      </c>
      <c r="L176" s="57" t="s">
        <v>63</v>
      </c>
      <c r="M176" s="57" t="s">
        <v>36</v>
      </c>
      <c r="N176" s="58">
        <v>44540</v>
      </c>
      <c r="O176" s="57">
        <v>1249.95</v>
      </c>
    </row>
    <row r="177" spans="1:15" x14ac:dyDescent="0.25">
      <c r="A177" s="57" t="s">
        <v>213</v>
      </c>
      <c r="B177" s="58">
        <v>45510</v>
      </c>
      <c r="C177" s="58" t="str">
        <f t="shared" si="2"/>
        <v>August</v>
      </c>
      <c r="D177" s="57" t="s">
        <v>102</v>
      </c>
      <c r="E177" s="57" t="s">
        <v>103</v>
      </c>
      <c r="F177" s="57" t="s">
        <v>44</v>
      </c>
      <c r="G177" s="57" t="s">
        <v>45</v>
      </c>
      <c r="H177" s="57" t="s">
        <v>46</v>
      </c>
      <c r="I177" s="57">
        <v>2</v>
      </c>
      <c r="J177" s="57">
        <v>149.99</v>
      </c>
      <c r="K177" s="57" t="s">
        <v>57</v>
      </c>
      <c r="L177" s="57" t="s">
        <v>63</v>
      </c>
      <c r="M177" s="57" t="s">
        <v>36</v>
      </c>
      <c r="N177" s="58">
        <v>44667</v>
      </c>
      <c r="O177" s="57">
        <v>299.98</v>
      </c>
    </row>
    <row r="178" spans="1:15" x14ac:dyDescent="0.25">
      <c r="A178" s="57" t="s">
        <v>255</v>
      </c>
      <c r="B178" s="58">
        <v>45559</v>
      </c>
      <c r="C178" s="58" t="str">
        <f t="shared" si="2"/>
        <v>September</v>
      </c>
      <c r="D178" s="57" t="s">
        <v>234</v>
      </c>
      <c r="E178" s="57" t="s">
        <v>235</v>
      </c>
      <c r="F178" s="57" t="s">
        <v>61</v>
      </c>
      <c r="G178" s="57" t="s">
        <v>62</v>
      </c>
      <c r="H178" s="57" t="s">
        <v>19</v>
      </c>
      <c r="I178" s="57">
        <v>3</v>
      </c>
      <c r="J178" s="57">
        <v>899.99</v>
      </c>
      <c r="K178" s="57" t="s">
        <v>26</v>
      </c>
      <c r="L178" s="57" t="s">
        <v>40</v>
      </c>
      <c r="M178" s="57" t="s">
        <v>36</v>
      </c>
      <c r="N178" s="58">
        <v>45157</v>
      </c>
      <c r="O178" s="57">
        <v>2699.97</v>
      </c>
    </row>
    <row r="179" spans="1:15" x14ac:dyDescent="0.25">
      <c r="A179" s="57" t="s">
        <v>346</v>
      </c>
      <c r="B179" s="58">
        <v>45686</v>
      </c>
      <c r="C179" s="58" t="str">
        <f t="shared" si="2"/>
        <v>January</v>
      </c>
      <c r="D179" s="57" t="s">
        <v>86</v>
      </c>
      <c r="E179" s="57" t="s">
        <v>87</v>
      </c>
      <c r="F179" s="57" t="s">
        <v>105</v>
      </c>
      <c r="G179" s="57" t="s">
        <v>106</v>
      </c>
      <c r="H179" s="57" t="s">
        <v>46</v>
      </c>
      <c r="I179" s="57">
        <v>3</v>
      </c>
      <c r="J179" s="57">
        <v>299.99</v>
      </c>
      <c r="K179" s="57" t="s">
        <v>57</v>
      </c>
      <c r="L179" s="57" t="s">
        <v>50</v>
      </c>
      <c r="M179" s="57" t="s">
        <v>36</v>
      </c>
      <c r="N179" s="58">
        <v>44952</v>
      </c>
      <c r="O179" s="57">
        <v>899.97</v>
      </c>
    </row>
    <row r="180" spans="1:15" x14ac:dyDescent="0.25">
      <c r="A180" s="57" t="s">
        <v>359</v>
      </c>
      <c r="B180" s="58">
        <v>45707</v>
      </c>
      <c r="C180" s="58" t="str">
        <f t="shared" si="2"/>
        <v>February</v>
      </c>
      <c r="D180" s="57" t="s">
        <v>123</v>
      </c>
      <c r="E180" s="57" t="s">
        <v>124</v>
      </c>
      <c r="F180" s="57" t="s">
        <v>80</v>
      </c>
      <c r="G180" s="57" t="s">
        <v>81</v>
      </c>
      <c r="H180" s="57" t="s">
        <v>19</v>
      </c>
      <c r="I180" s="57">
        <v>5</v>
      </c>
      <c r="J180" s="57">
        <v>699.99</v>
      </c>
      <c r="K180" s="57" t="s">
        <v>34</v>
      </c>
      <c r="L180" s="57" t="s">
        <v>35</v>
      </c>
      <c r="M180" s="57" t="s">
        <v>27</v>
      </c>
      <c r="N180" s="58">
        <v>45352</v>
      </c>
      <c r="O180" s="57">
        <v>3499.95</v>
      </c>
    </row>
    <row r="181" spans="1:15" x14ac:dyDescent="0.25">
      <c r="A181" s="57" t="s">
        <v>302</v>
      </c>
      <c r="B181" s="58">
        <v>45635</v>
      </c>
      <c r="C181" s="58" t="str">
        <f t="shared" si="2"/>
        <v>December</v>
      </c>
      <c r="D181" s="57" t="s">
        <v>108</v>
      </c>
      <c r="E181" s="57" t="s">
        <v>109</v>
      </c>
      <c r="F181" s="57" t="s">
        <v>17</v>
      </c>
      <c r="G181" s="57" t="s">
        <v>18</v>
      </c>
      <c r="H181" s="57" t="s">
        <v>19</v>
      </c>
      <c r="I181" s="57">
        <v>2</v>
      </c>
      <c r="J181" s="57">
        <v>249.99</v>
      </c>
      <c r="K181" s="57" t="s">
        <v>26</v>
      </c>
      <c r="L181" s="57" t="s">
        <v>21</v>
      </c>
      <c r="M181" s="57" t="s">
        <v>27</v>
      </c>
      <c r="N181" s="58">
        <v>44396</v>
      </c>
      <c r="O181" s="57">
        <v>499.98</v>
      </c>
    </row>
    <row r="182" spans="1:15" x14ac:dyDescent="0.25">
      <c r="A182" s="57" t="s">
        <v>257</v>
      </c>
      <c r="B182" s="58">
        <v>45563</v>
      </c>
      <c r="C182" s="58" t="str">
        <f t="shared" si="2"/>
        <v>September</v>
      </c>
      <c r="D182" s="57" t="s">
        <v>99</v>
      </c>
      <c r="E182" s="57" t="s">
        <v>100</v>
      </c>
      <c r="F182" s="57" t="s">
        <v>105</v>
      </c>
      <c r="G182" s="57" t="s">
        <v>106</v>
      </c>
      <c r="H182" s="57" t="s">
        <v>46</v>
      </c>
      <c r="I182" s="57">
        <v>2</v>
      </c>
      <c r="J182" s="57">
        <v>299.99</v>
      </c>
      <c r="K182" s="57" t="s">
        <v>57</v>
      </c>
      <c r="L182" s="57" t="s">
        <v>21</v>
      </c>
      <c r="M182" s="57" t="s">
        <v>22</v>
      </c>
      <c r="N182" s="58">
        <v>44569</v>
      </c>
      <c r="O182" s="57">
        <v>599.98</v>
      </c>
    </row>
    <row r="183" spans="1:15" x14ac:dyDescent="0.25">
      <c r="A183" s="57" t="s">
        <v>368</v>
      </c>
      <c r="B183" s="58">
        <v>45712</v>
      </c>
      <c r="C183" s="58" t="str">
        <f t="shared" si="2"/>
        <v>February</v>
      </c>
      <c r="D183" s="57" t="s">
        <v>138</v>
      </c>
      <c r="E183" s="57" t="s">
        <v>139</v>
      </c>
      <c r="F183" s="57" t="s">
        <v>126</v>
      </c>
      <c r="G183" s="57" t="s">
        <v>127</v>
      </c>
      <c r="H183" s="57" t="s">
        <v>46</v>
      </c>
      <c r="I183" s="57">
        <v>2</v>
      </c>
      <c r="J183" s="57">
        <v>199.99</v>
      </c>
      <c r="K183" s="57" t="s">
        <v>20</v>
      </c>
      <c r="L183" s="57" t="s">
        <v>21</v>
      </c>
      <c r="M183" s="57" t="s">
        <v>27</v>
      </c>
      <c r="N183" s="58">
        <v>44573</v>
      </c>
      <c r="O183" s="57">
        <v>399.98</v>
      </c>
    </row>
    <row r="184" spans="1:15" x14ac:dyDescent="0.25">
      <c r="A184" s="57" t="s">
        <v>312</v>
      </c>
      <c r="B184" s="58">
        <v>45645</v>
      </c>
      <c r="C184" s="58" t="str">
        <f t="shared" si="2"/>
        <v>December</v>
      </c>
      <c r="D184" s="57" t="s">
        <v>182</v>
      </c>
      <c r="E184" s="57" t="s">
        <v>183</v>
      </c>
      <c r="F184" s="57" t="s">
        <v>117</v>
      </c>
      <c r="G184" s="57" t="s">
        <v>118</v>
      </c>
      <c r="H184" s="57" t="s">
        <v>19</v>
      </c>
      <c r="I184" s="57">
        <v>1</v>
      </c>
      <c r="J184" s="57">
        <v>89.99</v>
      </c>
      <c r="K184" s="57" t="s">
        <v>57</v>
      </c>
      <c r="L184" s="57" t="s">
        <v>21</v>
      </c>
      <c r="M184" s="57" t="s">
        <v>36</v>
      </c>
      <c r="N184" s="58">
        <v>44760</v>
      </c>
      <c r="O184" s="57">
        <v>89.99</v>
      </c>
    </row>
    <row r="185" spans="1:15" x14ac:dyDescent="0.25">
      <c r="A185" s="57" t="s">
        <v>175</v>
      </c>
      <c r="B185" s="58">
        <v>45471</v>
      </c>
      <c r="C185" s="58" t="str">
        <f t="shared" si="2"/>
        <v>June</v>
      </c>
      <c r="D185" s="57" t="s">
        <v>38</v>
      </c>
      <c r="E185" s="57" t="s">
        <v>39</v>
      </c>
      <c r="F185" s="57" t="s">
        <v>80</v>
      </c>
      <c r="G185" s="57" t="s">
        <v>81</v>
      </c>
      <c r="H185" s="57" t="s">
        <v>19</v>
      </c>
      <c r="I185" s="57">
        <v>3</v>
      </c>
      <c r="J185" s="57">
        <v>699.99</v>
      </c>
      <c r="K185" s="57" t="s">
        <v>26</v>
      </c>
      <c r="L185" s="57" t="s">
        <v>63</v>
      </c>
      <c r="M185" s="57" t="s">
        <v>27</v>
      </c>
      <c r="N185" s="58">
        <v>45102</v>
      </c>
      <c r="O185" s="57">
        <v>2099.9699999999998</v>
      </c>
    </row>
    <row r="186" spans="1:15" x14ac:dyDescent="0.25">
      <c r="A186" s="57" t="s">
        <v>64</v>
      </c>
      <c r="B186" s="58">
        <v>45408</v>
      </c>
      <c r="C186" s="58" t="str">
        <f t="shared" si="2"/>
        <v>April</v>
      </c>
      <c r="D186" s="57" t="s">
        <v>65</v>
      </c>
      <c r="E186" s="57" t="s">
        <v>66</v>
      </c>
      <c r="F186" s="57" t="s">
        <v>31</v>
      </c>
      <c r="G186" s="57" t="s">
        <v>32</v>
      </c>
      <c r="H186" s="57" t="s">
        <v>33</v>
      </c>
      <c r="I186" s="57">
        <v>3</v>
      </c>
      <c r="J186" s="57">
        <v>59.99</v>
      </c>
      <c r="K186" s="57" t="s">
        <v>20</v>
      </c>
      <c r="L186" s="57" t="s">
        <v>50</v>
      </c>
      <c r="M186" s="57" t="s">
        <v>27</v>
      </c>
      <c r="N186" s="58">
        <v>45207</v>
      </c>
      <c r="O186" s="57">
        <v>179.97</v>
      </c>
    </row>
    <row r="187" spans="1:15" x14ac:dyDescent="0.25">
      <c r="A187" s="57" t="s">
        <v>376</v>
      </c>
      <c r="B187" s="58">
        <v>45724</v>
      </c>
      <c r="C187" s="58" t="str">
        <f t="shared" si="2"/>
        <v>March</v>
      </c>
      <c r="D187" s="57" t="s">
        <v>226</v>
      </c>
      <c r="E187" s="57" t="s">
        <v>227</v>
      </c>
      <c r="F187" s="57" t="s">
        <v>44</v>
      </c>
      <c r="G187" s="57" t="s">
        <v>45</v>
      </c>
      <c r="H187" s="57" t="s">
        <v>46</v>
      </c>
      <c r="I187" s="57">
        <v>2</v>
      </c>
      <c r="J187" s="57">
        <v>149.99</v>
      </c>
      <c r="K187" s="57" t="s">
        <v>34</v>
      </c>
      <c r="L187" s="57" t="s">
        <v>21</v>
      </c>
      <c r="M187" s="57" t="s">
        <v>27</v>
      </c>
      <c r="N187" s="58">
        <v>44632</v>
      </c>
      <c r="O187" s="57">
        <v>299.98</v>
      </c>
    </row>
    <row r="188" spans="1:15" x14ac:dyDescent="0.25">
      <c r="A188" s="57" t="s">
        <v>355</v>
      </c>
      <c r="B188" s="58">
        <v>45701</v>
      </c>
      <c r="C188" s="58" t="str">
        <f t="shared" si="2"/>
        <v>February</v>
      </c>
      <c r="D188" s="57" t="s">
        <v>108</v>
      </c>
      <c r="E188" s="57" t="s">
        <v>109</v>
      </c>
      <c r="F188" s="57" t="s">
        <v>114</v>
      </c>
      <c r="G188" s="57" t="s">
        <v>115</v>
      </c>
      <c r="H188" s="57" t="s">
        <v>33</v>
      </c>
      <c r="I188" s="57">
        <v>3</v>
      </c>
      <c r="J188" s="57">
        <v>79.989999999999995</v>
      </c>
      <c r="K188" s="57" t="s">
        <v>20</v>
      </c>
      <c r="L188" s="57" t="s">
        <v>63</v>
      </c>
      <c r="M188" s="57" t="s">
        <v>27</v>
      </c>
      <c r="N188" s="58">
        <v>44436</v>
      </c>
      <c r="O188" s="57">
        <v>239.97</v>
      </c>
    </row>
    <row r="189" spans="1:15" x14ac:dyDescent="0.25">
      <c r="A189" s="57" t="s">
        <v>347</v>
      </c>
      <c r="B189" s="58">
        <v>45686</v>
      </c>
      <c r="C189" s="58" t="str">
        <f t="shared" si="2"/>
        <v>January</v>
      </c>
      <c r="D189" s="57" t="s">
        <v>293</v>
      </c>
      <c r="E189" s="57" t="s">
        <v>294</v>
      </c>
      <c r="F189" s="57" t="s">
        <v>80</v>
      </c>
      <c r="G189" s="57" t="s">
        <v>81</v>
      </c>
      <c r="H189" s="57" t="s">
        <v>19</v>
      </c>
      <c r="I189" s="57">
        <v>2</v>
      </c>
      <c r="J189" s="57">
        <v>699.99</v>
      </c>
      <c r="K189" s="57" t="s">
        <v>57</v>
      </c>
      <c r="L189" s="57" t="s">
        <v>21</v>
      </c>
      <c r="M189" s="57" t="s">
        <v>27</v>
      </c>
      <c r="N189" s="58">
        <v>44681</v>
      </c>
      <c r="O189" s="57">
        <v>1399.98</v>
      </c>
    </row>
    <row r="190" spans="1:15" x14ac:dyDescent="0.25">
      <c r="A190" s="57" t="s">
        <v>270</v>
      </c>
      <c r="B190" s="58">
        <v>45581</v>
      </c>
      <c r="C190" s="58" t="str">
        <f t="shared" si="2"/>
        <v>October</v>
      </c>
      <c r="D190" s="57" t="s">
        <v>150</v>
      </c>
      <c r="E190" s="57" t="s">
        <v>151</v>
      </c>
      <c r="F190" s="57" t="s">
        <v>61</v>
      </c>
      <c r="G190" s="57" t="s">
        <v>62</v>
      </c>
      <c r="H190" s="57" t="s">
        <v>19</v>
      </c>
      <c r="I190" s="57">
        <v>1</v>
      </c>
      <c r="J190" s="57">
        <v>899.99</v>
      </c>
      <c r="K190" s="57" t="s">
        <v>26</v>
      </c>
      <c r="L190" s="57" t="s">
        <v>63</v>
      </c>
      <c r="M190" s="57" t="s">
        <v>36</v>
      </c>
      <c r="N190" s="58">
        <v>45369</v>
      </c>
      <c r="O190" s="57">
        <v>899.99</v>
      </c>
    </row>
    <row r="191" spans="1:15" x14ac:dyDescent="0.25">
      <c r="A191" s="57" t="s">
        <v>271</v>
      </c>
      <c r="B191" s="58">
        <v>45583</v>
      </c>
      <c r="C191" s="58" t="str">
        <f t="shared" si="2"/>
        <v>October</v>
      </c>
      <c r="D191" s="57" t="s">
        <v>226</v>
      </c>
      <c r="E191" s="57" t="s">
        <v>227</v>
      </c>
      <c r="F191" s="57" t="s">
        <v>52</v>
      </c>
      <c r="G191" s="57" t="s">
        <v>53</v>
      </c>
      <c r="H191" s="57" t="s">
        <v>19</v>
      </c>
      <c r="I191" s="57">
        <v>2</v>
      </c>
      <c r="J191" s="57">
        <v>149.99</v>
      </c>
      <c r="K191" s="57" t="s">
        <v>26</v>
      </c>
      <c r="L191" s="57" t="s">
        <v>50</v>
      </c>
      <c r="M191" s="57" t="s">
        <v>22</v>
      </c>
      <c r="N191" s="58">
        <v>44916</v>
      </c>
      <c r="O191" s="57">
        <v>299.98</v>
      </c>
    </row>
    <row r="192" spans="1:15" x14ac:dyDescent="0.25">
      <c r="A192" s="57" t="s">
        <v>77</v>
      </c>
      <c r="B192" s="58">
        <v>45409</v>
      </c>
      <c r="C192" s="58" t="str">
        <f t="shared" si="2"/>
        <v>April</v>
      </c>
      <c r="D192" s="57" t="s">
        <v>78</v>
      </c>
      <c r="E192" s="57" t="s">
        <v>79</v>
      </c>
      <c r="F192" s="57" t="s">
        <v>80</v>
      </c>
      <c r="G192" s="57" t="s">
        <v>81</v>
      </c>
      <c r="H192" s="57" t="s">
        <v>19</v>
      </c>
      <c r="I192" s="57">
        <v>3</v>
      </c>
      <c r="J192" s="57">
        <v>699.99</v>
      </c>
      <c r="K192" s="57" t="s">
        <v>26</v>
      </c>
      <c r="L192" s="57" t="s">
        <v>50</v>
      </c>
      <c r="M192" s="57" t="s">
        <v>22</v>
      </c>
      <c r="N192" s="58">
        <v>44577</v>
      </c>
      <c r="O192" s="57">
        <v>2099.9699999999998</v>
      </c>
    </row>
    <row r="193" spans="1:15" x14ac:dyDescent="0.25">
      <c r="A193" s="57" t="s">
        <v>179</v>
      </c>
      <c r="B193" s="58">
        <v>45475</v>
      </c>
      <c r="C193" s="58" t="str">
        <f t="shared" si="2"/>
        <v>July</v>
      </c>
      <c r="D193" s="57" t="s">
        <v>55</v>
      </c>
      <c r="E193" s="57" t="s">
        <v>56</v>
      </c>
      <c r="F193" s="57" t="s">
        <v>117</v>
      </c>
      <c r="G193" s="57" t="s">
        <v>118</v>
      </c>
      <c r="H193" s="57" t="s">
        <v>19</v>
      </c>
      <c r="I193" s="57">
        <v>1</v>
      </c>
      <c r="J193" s="57">
        <v>89.99</v>
      </c>
      <c r="K193" s="57" t="s">
        <v>34</v>
      </c>
      <c r="L193" s="57" t="s">
        <v>50</v>
      </c>
      <c r="M193" s="57" t="s">
        <v>36</v>
      </c>
      <c r="N193" s="58">
        <v>44802</v>
      </c>
      <c r="O193" s="57">
        <v>89.99</v>
      </c>
    </row>
    <row r="194" spans="1:15" x14ac:dyDescent="0.25">
      <c r="A194" s="57" t="s">
        <v>51</v>
      </c>
      <c r="B194" s="58">
        <v>45403</v>
      </c>
      <c r="C194" s="58" t="str">
        <f t="shared" si="2"/>
        <v>April</v>
      </c>
      <c r="D194" s="57" t="s">
        <v>48</v>
      </c>
      <c r="E194" s="57" t="s">
        <v>49</v>
      </c>
      <c r="F194" s="57" t="s">
        <v>52</v>
      </c>
      <c r="G194" s="57" t="s">
        <v>53</v>
      </c>
      <c r="H194" s="57" t="s">
        <v>19</v>
      </c>
      <c r="I194" s="57">
        <v>5</v>
      </c>
      <c r="J194" s="57">
        <v>149.99</v>
      </c>
      <c r="K194" s="57" t="s">
        <v>26</v>
      </c>
      <c r="L194" s="57" t="s">
        <v>21</v>
      </c>
      <c r="M194" s="57" t="s">
        <v>36</v>
      </c>
      <c r="N194" s="58">
        <v>44418</v>
      </c>
      <c r="O194" s="57">
        <v>749.95</v>
      </c>
    </row>
    <row r="195" spans="1:15" x14ac:dyDescent="0.25">
      <c r="A195" s="57" t="s">
        <v>128</v>
      </c>
      <c r="B195" s="58">
        <v>45428</v>
      </c>
      <c r="C195" s="58" t="str">
        <f t="shared" ref="C195:C251" si="3">TEXT(B195,"mmmm")</f>
        <v>May</v>
      </c>
      <c r="D195" s="57" t="s">
        <v>129</v>
      </c>
      <c r="E195" s="57" t="s">
        <v>130</v>
      </c>
      <c r="F195" s="57" t="s">
        <v>44</v>
      </c>
      <c r="G195" s="57" t="s">
        <v>45</v>
      </c>
      <c r="H195" s="57" t="s">
        <v>46</v>
      </c>
      <c r="I195" s="57">
        <v>2</v>
      </c>
      <c r="J195" s="57">
        <v>149.99</v>
      </c>
      <c r="K195" s="57" t="s">
        <v>26</v>
      </c>
      <c r="L195" s="57" t="s">
        <v>50</v>
      </c>
      <c r="M195" s="57" t="s">
        <v>22</v>
      </c>
      <c r="N195" s="58">
        <v>44823</v>
      </c>
      <c r="O195" s="57">
        <v>299.98</v>
      </c>
    </row>
    <row r="196" spans="1:15" x14ac:dyDescent="0.25">
      <c r="A196" s="57" t="s">
        <v>248</v>
      </c>
      <c r="B196" s="58">
        <v>45551</v>
      </c>
      <c r="C196" s="58" t="str">
        <f t="shared" si="3"/>
        <v>September</v>
      </c>
      <c r="D196" s="57" t="s">
        <v>65</v>
      </c>
      <c r="E196" s="57" t="s">
        <v>66</v>
      </c>
      <c r="F196" s="57" t="s">
        <v>17</v>
      </c>
      <c r="G196" s="57" t="s">
        <v>18</v>
      </c>
      <c r="H196" s="57" t="s">
        <v>19</v>
      </c>
      <c r="I196" s="57">
        <v>2</v>
      </c>
      <c r="J196" s="57">
        <v>249.99</v>
      </c>
      <c r="K196" s="57" t="s">
        <v>34</v>
      </c>
      <c r="L196" s="57" t="s">
        <v>35</v>
      </c>
      <c r="M196" s="57" t="s">
        <v>22</v>
      </c>
      <c r="N196" s="58">
        <v>44993</v>
      </c>
      <c r="O196" s="57">
        <v>499.98</v>
      </c>
    </row>
    <row r="197" spans="1:15" x14ac:dyDescent="0.25">
      <c r="A197" s="57" t="s">
        <v>357</v>
      </c>
      <c r="B197" s="58">
        <v>45704</v>
      </c>
      <c r="C197" s="58" t="str">
        <f t="shared" si="3"/>
        <v>February</v>
      </c>
      <c r="D197" s="57" t="s">
        <v>15</v>
      </c>
      <c r="E197" s="57" t="s">
        <v>16</v>
      </c>
      <c r="F197" s="57" t="s">
        <v>117</v>
      </c>
      <c r="G197" s="57" t="s">
        <v>118</v>
      </c>
      <c r="H197" s="57" t="s">
        <v>19</v>
      </c>
      <c r="I197" s="57">
        <v>2</v>
      </c>
      <c r="J197" s="57">
        <v>89.99</v>
      </c>
      <c r="K197" s="57" t="s">
        <v>34</v>
      </c>
      <c r="L197" s="57" t="s">
        <v>21</v>
      </c>
      <c r="M197" s="57" t="s">
        <v>22</v>
      </c>
      <c r="N197" s="58">
        <v>45257</v>
      </c>
      <c r="O197" s="57">
        <v>179.98</v>
      </c>
    </row>
    <row r="198" spans="1:15" x14ac:dyDescent="0.25">
      <c r="A198" s="57" t="s">
        <v>390</v>
      </c>
      <c r="B198" s="58">
        <v>45746</v>
      </c>
      <c r="C198" s="58" t="str">
        <f t="shared" si="3"/>
        <v>March</v>
      </c>
      <c r="D198" s="57" t="s">
        <v>93</v>
      </c>
      <c r="E198" s="57" t="s">
        <v>94</v>
      </c>
      <c r="F198" s="57" t="s">
        <v>44</v>
      </c>
      <c r="G198" s="57" t="s">
        <v>45</v>
      </c>
      <c r="H198" s="57" t="s">
        <v>46</v>
      </c>
      <c r="I198" s="57">
        <v>3</v>
      </c>
      <c r="J198" s="57">
        <v>149.99</v>
      </c>
      <c r="K198" s="57" t="s">
        <v>34</v>
      </c>
      <c r="L198" s="57" t="s">
        <v>21</v>
      </c>
      <c r="M198" s="57" t="s">
        <v>36</v>
      </c>
      <c r="N198" s="58">
        <v>45171</v>
      </c>
      <c r="O198" s="57">
        <v>449.97</v>
      </c>
    </row>
    <row r="199" spans="1:15" x14ac:dyDescent="0.25">
      <c r="A199" s="57" t="s">
        <v>307</v>
      </c>
      <c r="B199" s="58">
        <v>45636</v>
      </c>
      <c r="C199" s="58" t="str">
        <f t="shared" si="3"/>
        <v>December</v>
      </c>
      <c r="D199" s="57" t="s">
        <v>120</v>
      </c>
      <c r="E199" s="57" t="s">
        <v>121</v>
      </c>
      <c r="F199" s="57" t="s">
        <v>114</v>
      </c>
      <c r="G199" s="57" t="s">
        <v>115</v>
      </c>
      <c r="H199" s="57" t="s">
        <v>33</v>
      </c>
      <c r="I199" s="57">
        <v>3</v>
      </c>
      <c r="J199" s="57">
        <v>79.989999999999995</v>
      </c>
      <c r="K199" s="57" t="s">
        <v>57</v>
      </c>
      <c r="L199" s="57" t="s">
        <v>63</v>
      </c>
      <c r="M199" s="57" t="s">
        <v>36</v>
      </c>
      <c r="N199" s="58">
        <v>44779</v>
      </c>
      <c r="O199" s="57">
        <v>239.97</v>
      </c>
    </row>
    <row r="200" spans="1:15" x14ac:dyDescent="0.25">
      <c r="A200" s="57" t="s">
        <v>378</v>
      </c>
      <c r="B200" s="58">
        <v>45724</v>
      </c>
      <c r="C200" s="58" t="str">
        <f t="shared" si="3"/>
        <v>March</v>
      </c>
      <c r="D200" s="57" t="s">
        <v>55</v>
      </c>
      <c r="E200" s="57" t="s">
        <v>56</v>
      </c>
      <c r="F200" s="57" t="s">
        <v>44</v>
      </c>
      <c r="G200" s="57" t="s">
        <v>45</v>
      </c>
      <c r="H200" s="57" t="s">
        <v>46</v>
      </c>
      <c r="I200" s="57">
        <v>4</v>
      </c>
      <c r="J200" s="57">
        <v>149.99</v>
      </c>
      <c r="K200" s="57" t="s">
        <v>20</v>
      </c>
      <c r="L200" s="57" t="s">
        <v>21</v>
      </c>
      <c r="M200" s="57" t="s">
        <v>36</v>
      </c>
      <c r="N200" s="58">
        <v>45263</v>
      </c>
      <c r="O200" s="57">
        <v>599.96</v>
      </c>
    </row>
    <row r="201" spans="1:15" x14ac:dyDescent="0.25">
      <c r="A201" s="57" t="s">
        <v>366</v>
      </c>
      <c r="B201" s="58">
        <v>45711</v>
      </c>
      <c r="C201" s="58" t="str">
        <f t="shared" si="3"/>
        <v>February</v>
      </c>
      <c r="D201" s="57" t="s">
        <v>325</v>
      </c>
      <c r="E201" s="57" t="s">
        <v>326</v>
      </c>
      <c r="F201" s="57" t="s">
        <v>44</v>
      </c>
      <c r="G201" s="57" t="s">
        <v>45</v>
      </c>
      <c r="H201" s="57" t="s">
        <v>46</v>
      </c>
      <c r="I201" s="57">
        <v>4</v>
      </c>
      <c r="J201" s="57">
        <v>149.99</v>
      </c>
      <c r="K201" s="57" t="s">
        <v>34</v>
      </c>
      <c r="L201" s="57" t="s">
        <v>40</v>
      </c>
      <c r="M201" s="57" t="s">
        <v>27</v>
      </c>
      <c r="N201" s="58">
        <v>44412</v>
      </c>
      <c r="O201" s="57">
        <v>599.96</v>
      </c>
    </row>
    <row r="202" spans="1:15" x14ac:dyDescent="0.25">
      <c r="A202" s="57" t="s">
        <v>299</v>
      </c>
      <c r="B202" s="58">
        <v>45627</v>
      </c>
      <c r="C202" s="58" t="str">
        <f t="shared" si="3"/>
        <v>December</v>
      </c>
      <c r="D202" s="57" t="s">
        <v>86</v>
      </c>
      <c r="E202" s="57" t="s">
        <v>87</v>
      </c>
      <c r="F202" s="57" t="s">
        <v>80</v>
      </c>
      <c r="G202" s="57" t="s">
        <v>81</v>
      </c>
      <c r="H202" s="57" t="s">
        <v>19</v>
      </c>
      <c r="I202" s="57">
        <v>5</v>
      </c>
      <c r="J202" s="57">
        <v>699.99</v>
      </c>
      <c r="K202" s="57" t="s">
        <v>57</v>
      </c>
      <c r="L202" s="57" t="s">
        <v>50</v>
      </c>
      <c r="M202" s="57" t="s">
        <v>36</v>
      </c>
      <c r="N202" s="58">
        <v>44944</v>
      </c>
      <c r="O202" s="57">
        <v>3499.95</v>
      </c>
    </row>
    <row r="203" spans="1:15" x14ac:dyDescent="0.25">
      <c r="A203" s="57" t="s">
        <v>143</v>
      </c>
      <c r="B203" s="58">
        <v>45441</v>
      </c>
      <c r="C203" s="58" t="str">
        <f t="shared" si="3"/>
        <v>May</v>
      </c>
      <c r="D203" s="57" t="s">
        <v>144</v>
      </c>
      <c r="E203" s="57" t="s">
        <v>145</v>
      </c>
      <c r="F203" s="57" t="s">
        <v>117</v>
      </c>
      <c r="G203" s="57" t="s">
        <v>118</v>
      </c>
      <c r="H203" s="57" t="s">
        <v>19</v>
      </c>
      <c r="I203" s="57">
        <v>3</v>
      </c>
      <c r="J203" s="57">
        <v>89.99</v>
      </c>
      <c r="K203" s="57" t="s">
        <v>34</v>
      </c>
      <c r="L203" s="57" t="s">
        <v>21</v>
      </c>
      <c r="M203" s="57" t="s">
        <v>27</v>
      </c>
      <c r="N203" s="58">
        <v>45120</v>
      </c>
      <c r="O203" s="57">
        <v>269.97000000000003</v>
      </c>
    </row>
    <row r="204" spans="1:15" x14ac:dyDescent="0.25">
      <c r="A204" s="57" t="s">
        <v>263</v>
      </c>
      <c r="B204" s="58">
        <v>45572</v>
      </c>
      <c r="C204" s="58" t="str">
        <f t="shared" si="3"/>
        <v>October</v>
      </c>
      <c r="D204" s="57" t="s">
        <v>234</v>
      </c>
      <c r="E204" s="57" t="s">
        <v>235</v>
      </c>
      <c r="F204" s="57" t="s">
        <v>52</v>
      </c>
      <c r="G204" s="57" t="s">
        <v>53</v>
      </c>
      <c r="H204" s="57" t="s">
        <v>19</v>
      </c>
      <c r="I204" s="57">
        <v>4</v>
      </c>
      <c r="J204" s="57">
        <v>149.99</v>
      </c>
      <c r="K204" s="57" t="s">
        <v>26</v>
      </c>
      <c r="L204" s="57" t="s">
        <v>40</v>
      </c>
      <c r="M204" s="57" t="s">
        <v>27</v>
      </c>
      <c r="N204" s="58">
        <v>45076</v>
      </c>
      <c r="O204" s="57">
        <v>599.96</v>
      </c>
    </row>
    <row r="205" spans="1:15" x14ac:dyDescent="0.25">
      <c r="A205" s="57" t="s">
        <v>101</v>
      </c>
      <c r="B205" s="58">
        <v>45415</v>
      </c>
      <c r="C205" s="58" t="str">
        <f t="shared" si="3"/>
        <v>May</v>
      </c>
      <c r="D205" s="57" t="s">
        <v>102</v>
      </c>
      <c r="E205" s="57" t="s">
        <v>103</v>
      </c>
      <c r="F205" s="57" t="s">
        <v>17</v>
      </c>
      <c r="G205" s="57" t="s">
        <v>18</v>
      </c>
      <c r="H205" s="57" t="s">
        <v>19</v>
      </c>
      <c r="I205" s="57">
        <v>4</v>
      </c>
      <c r="J205" s="57">
        <v>249.99</v>
      </c>
      <c r="K205" s="57" t="s">
        <v>34</v>
      </c>
      <c r="L205" s="57" t="s">
        <v>40</v>
      </c>
      <c r="M205" s="57" t="s">
        <v>36</v>
      </c>
      <c r="N205" s="58">
        <v>44468</v>
      </c>
      <c r="O205" s="57">
        <v>999.96</v>
      </c>
    </row>
    <row r="206" spans="1:15" x14ac:dyDescent="0.25">
      <c r="A206" s="57" t="s">
        <v>215</v>
      </c>
      <c r="B206" s="58">
        <v>45515</v>
      </c>
      <c r="C206" s="58" t="str">
        <f t="shared" si="3"/>
        <v>August</v>
      </c>
      <c r="D206" s="57" t="s">
        <v>86</v>
      </c>
      <c r="E206" s="57" t="s">
        <v>87</v>
      </c>
      <c r="F206" s="57" t="s">
        <v>105</v>
      </c>
      <c r="G206" s="57" t="s">
        <v>106</v>
      </c>
      <c r="H206" s="57" t="s">
        <v>46</v>
      </c>
      <c r="I206" s="57">
        <v>5</v>
      </c>
      <c r="J206" s="57">
        <v>299.99</v>
      </c>
      <c r="K206" s="57" t="s">
        <v>26</v>
      </c>
      <c r="L206" s="57" t="s">
        <v>40</v>
      </c>
      <c r="M206" s="57" t="s">
        <v>22</v>
      </c>
      <c r="N206" s="58">
        <v>44965</v>
      </c>
      <c r="O206" s="57">
        <v>1499.95</v>
      </c>
    </row>
    <row r="207" spans="1:15" x14ac:dyDescent="0.25">
      <c r="A207" s="57" t="s">
        <v>295</v>
      </c>
      <c r="B207" s="58">
        <v>45623</v>
      </c>
      <c r="C207" s="58" t="str">
        <f t="shared" si="3"/>
        <v>November</v>
      </c>
      <c r="D207" s="57" t="s">
        <v>112</v>
      </c>
      <c r="E207" s="57" t="s">
        <v>113</v>
      </c>
      <c r="F207" s="57" t="s">
        <v>44</v>
      </c>
      <c r="G207" s="57" t="s">
        <v>45</v>
      </c>
      <c r="H207" s="57" t="s">
        <v>46</v>
      </c>
      <c r="I207" s="57">
        <v>2</v>
      </c>
      <c r="J207" s="57">
        <v>149.99</v>
      </c>
      <c r="K207" s="57" t="s">
        <v>20</v>
      </c>
      <c r="L207" s="57" t="s">
        <v>35</v>
      </c>
      <c r="M207" s="57" t="s">
        <v>36</v>
      </c>
      <c r="N207" s="58">
        <v>45101</v>
      </c>
      <c r="O207" s="57">
        <v>299.98</v>
      </c>
    </row>
    <row r="208" spans="1:15" x14ac:dyDescent="0.25">
      <c r="A208" s="57" t="s">
        <v>322</v>
      </c>
      <c r="B208" s="58">
        <v>45657</v>
      </c>
      <c r="C208" s="58" t="str">
        <f t="shared" si="3"/>
        <v>December</v>
      </c>
      <c r="D208" s="57" t="s">
        <v>86</v>
      </c>
      <c r="E208" s="57" t="s">
        <v>87</v>
      </c>
      <c r="F208" s="57" t="s">
        <v>61</v>
      </c>
      <c r="G208" s="57" t="s">
        <v>62</v>
      </c>
      <c r="H208" s="57" t="s">
        <v>19</v>
      </c>
      <c r="I208" s="57">
        <v>1</v>
      </c>
      <c r="J208" s="57">
        <v>899.99</v>
      </c>
      <c r="K208" s="57" t="s">
        <v>34</v>
      </c>
      <c r="L208" s="57" t="s">
        <v>40</v>
      </c>
      <c r="M208" s="57" t="s">
        <v>27</v>
      </c>
      <c r="N208" s="58">
        <v>45050</v>
      </c>
      <c r="O208" s="57">
        <v>899.99</v>
      </c>
    </row>
    <row r="209" spans="1:15" x14ac:dyDescent="0.25">
      <c r="A209" s="57" t="s">
        <v>153</v>
      </c>
      <c r="B209" s="58">
        <v>45446</v>
      </c>
      <c r="C209" s="58" t="str">
        <f t="shared" si="3"/>
        <v>June</v>
      </c>
      <c r="D209" s="57" t="s">
        <v>154</v>
      </c>
      <c r="E209" s="57" t="s">
        <v>155</v>
      </c>
      <c r="F209" s="57" t="s">
        <v>117</v>
      </c>
      <c r="G209" s="57" t="s">
        <v>118</v>
      </c>
      <c r="H209" s="57" t="s">
        <v>19</v>
      </c>
      <c r="I209" s="57">
        <v>5</v>
      </c>
      <c r="J209" s="57">
        <v>89.99</v>
      </c>
      <c r="K209" s="57" t="s">
        <v>26</v>
      </c>
      <c r="L209" s="57" t="s">
        <v>63</v>
      </c>
      <c r="M209" s="57" t="s">
        <v>36</v>
      </c>
      <c r="N209" s="58">
        <v>44587</v>
      </c>
      <c r="O209" s="57">
        <v>449.95</v>
      </c>
    </row>
    <row r="210" spans="1:15" x14ac:dyDescent="0.25">
      <c r="A210" s="57" t="s">
        <v>70</v>
      </c>
      <c r="B210" s="58">
        <v>45408</v>
      </c>
      <c r="C210" s="58" t="str">
        <f t="shared" si="3"/>
        <v>April</v>
      </c>
      <c r="D210" s="57" t="s">
        <v>38</v>
      </c>
      <c r="E210" s="57" t="s">
        <v>39</v>
      </c>
      <c r="F210" s="57" t="s">
        <v>44</v>
      </c>
      <c r="G210" s="57" t="s">
        <v>45</v>
      </c>
      <c r="H210" s="57" t="s">
        <v>46</v>
      </c>
      <c r="I210" s="57">
        <v>5</v>
      </c>
      <c r="J210" s="57">
        <v>149.99</v>
      </c>
      <c r="K210" s="57" t="s">
        <v>57</v>
      </c>
      <c r="L210" s="57" t="s">
        <v>40</v>
      </c>
      <c r="M210" s="57" t="s">
        <v>22</v>
      </c>
      <c r="N210" s="58">
        <v>44830</v>
      </c>
      <c r="O210" s="57">
        <v>749.95</v>
      </c>
    </row>
    <row r="211" spans="1:15" x14ac:dyDescent="0.25">
      <c r="A211" s="57" t="s">
        <v>285</v>
      </c>
      <c r="B211" s="58">
        <v>45608</v>
      </c>
      <c r="C211" s="58" t="str">
        <f t="shared" si="3"/>
        <v>November</v>
      </c>
      <c r="D211" s="57" t="s">
        <v>154</v>
      </c>
      <c r="E211" s="57" t="s">
        <v>155</v>
      </c>
      <c r="F211" s="57" t="s">
        <v>44</v>
      </c>
      <c r="G211" s="57" t="s">
        <v>45</v>
      </c>
      <c r="H211" s="57" t="s">
        <v>46</v>
      </c>
      <c r="I211" s="57">
        <v>5</v>
      </c>
      <c r="J211" s="57">
        <v>149.99</v>
      </c>
      <c r="K211" s="57" t="s">
        <v>34</v>
      </c>
      <c r="L211" s="57" t="s">
        <v>21</v>
      </c>
      <c r="M211" s="57" t="s">
        <v>22</v>
      </c>
      <c r="N211" s="58">
        <v>44901</v>
      </c>
      <c r="O211" s="57">
        <v>749.95</v>
      </c>
    </row>
    <row r="212" spans="1:15" x14ac:dyDescent="0.25">
      <c r="A212" s="57" t="s">
        <v>244</v>
      </c>
      <c r="B212" s="58">
        <v>45548</v>
      </c>
      <c r="C212" s="58" t="str">
        <f t="shared" si="3"/>
        <v>September</v>
      </c>
      <c r="D212" s="57" t="s">
        <v>38</v>
      </c>
      <c r="E212" s="57" t="s">
        <v>39</v>
      </c>
      <c r="F212" s="57" t="s">
        <v>117</v>
      </c>
      <c r="G212" s="57" t="s">
        <v>118</v>
      </c>
      <c r="H212" s="57" t="s">
        <v>19</v>
      </c>
      <c r="I212" s="57">
        <v>2</v>
      </c>
      <c r="J212" s="57">
        <v>89.99</v>
      </c>
      <c r="K212" s="57" t="s">
        <v>26</v>
      </c>
      <c r="L212" s="57" t="s">
        <v>35</v>
      </c>
      <c r="M212" s="57" t="s">
        <v>27</v>
      </c>
      <c r="N212" s="58">
        <v>44641</v>
      </c>
      <c r="O212" s="57">
        <v>179.98</v>
      </c>
    </row>
    <row r="213" spans="1:15" x14ac:dyDescent="0.25">
      <c r="A213" s="57" t="s">
        <v>41</v>
      </c>
      <c r="B213" s="58">
        <v>45400</v>
      </c>
      <c r="C213" s="58" t="str">
        <f t="shared" si="3"/>
        <v>April</v>
      </c>
      <c r="D213" s="57" t="s">
        <v>42</v>
      </c>
      <c r="E213" s="57" t="s">
        <v>43</v>
      </c>
      <c r="F213" s="57" t="s">
        <v>44</v>
      </c>
      <c r="G213" s="57" t="s">
        <v>45</v>
      </c>
      <c r="H213" s="57" t="s">
        <v>46</v>
      </c>
      <c r="I213" s="57">
        <v>5</v>
      </c>
      <c r="J213" s="57">
        <v>149.99</v>
      </c>
      <c r="K213" s="57" t="s">
        <v>26</v>
      </c>
      <c r="L213" s="57" t="s">
        <v>40</v>
      </c>
      <c r="M213" s="57" t="s">
        <v>27</v>
      </c>
      <c r="N213" s="58">
        <v>45295</v>
      </c>
      <c r="O213" s="57">
        <v>749.95</v>
      </c>
    </row>
    <row r="214" spans="1:15" x14ac:dyDescent="0.25">
      <c r="A214" s="57" t="s">
        <v>389</v>
      </c>
      <c r="B214" s="58">
        <v>45745</v>
      </c>
      <c r="C214" s="58" t="str">
        <f t="shared" si="3"/>
        <v>March</v>
      </c>
      <c r="D214" s="57" t="s">
        <v>185</v>
      </c>
      <c r="E214" s="57" t="s">
        <v>186</v>
      </c>
      <c r="F214" s="57" t="s">
        <v>117</v>
      </c>
      <c r="G214" s="57" t="s">
        <v>118</v>
      </c>
      <c r="H214" s="57" t="s">
        <v>19</v>
      </c>
      <c r="I214" s="57">
        <v>5</v>
      </c>
      <c r="J214" s="57">
        <v>89.99</v>
      </c>
      <c r="K214" s="57" t="s">
        <v>34</v>
      </c>
      <c r="L214" s="57" t="s">
        <v>35</v>
      </c>
      <c r="M214" s="57" t="s">
        <v>22</v>
      </c>
      <c r="N214" s="58">
        <v>44704</v>
      </c>
      <c r="O214" s="57">
        <v>449.95</v>
      </c>
    </row>
    <row r="215" spans="1:15" x14ac:dyDescent="0.25">
      <c r="A215" s="57" t="s">
        <v>361</v>
      </c>
      <c r="B215" s="58">
        <v>45708</v>
      </c>
      <c r="C215" s="58" t="str">
        <f t="shared" si="3"/>
        <v>February</v>
      </c>
      <c r="D215" s="57" t="s">
        <v>96</v>
      </c>
      <c r="E215" s="57" t="s">
        <v>97</v>
      </c>
      <c r="F215" s="57" t="s">
        <v>61</v>
      </c>
      <c r="G215" s="57" t="s">
        <v>62</v>
      </c>
      <c r="H215" s="57" t="s">
        <v>19</v>
      </c>
      <c r="I215" s="57">
        <v>3</v>
      </c>
      <c r="J215" s="57">
        <v>899.99</v>
      </c>
      <c r="K215" s="57" t="s">
        <v>20</v>
      </c>
      <c r="L215" s="57" t="s">
        <v>63</v>
      </c>
      <c r="M215" s="57" t="s">
        <v>36</v>
      </c>
      <c r="N215" s="58">
        <v>44613</v>
      </c>
      <c r="O215" s="57">
        <v>2699.97</v>
      </c>
    </row>
    <row r="216" spans="1:15" x14ac:dyDescent="0.25">
      <c r="A216" s="57" t="s">
        <v>203</v>
      </c>
      <c r="B216" s="58">
        <v>45498</v>
      </c>
      <c r="C216" s="58" t="str">
        <f t="shared" si="3"/>
        <v>July</v>
      </c>
      <c r="D216" s="57" t="s">
        <v>196</v>
      </c>
      <c r="E216" s="57" t="s">
        <v>197</v>
      </c>
      <c r="F216" s="57" t="s">
        <v>17</v>
      </c>
      <c r="G216" s="57" t="s">
        <v>18</v>
      </c>
      <c r="H216" s="57" t="s">
        <v>19</v>
      </c>
      <c r="I216" s="57">
        <v>4</v>
      </c>
      <c r="J216" s="57">
        <v>249.99</v>
      </c>
      <c r="K216" s="57" t="s">
        <v>57</v>
      </c>
      <c r="L216" s="57" t="s">
        <v>21</v>
      </c>
      <c r="M216" s="57" t="s">
        <v>36</v>
      </c>
      <c r="N216" s="58">
        <v>45127</v>
      </c>
      <c r="O216" s="57">
        <v>999.96</v>
      </c>
    </row>
    <row r="217" spans="1:15" x14ac:dyDescent="0.25">
      <c r="A217" s="57" t="s">
        <v>198</v>
      </c>
      <c r="B217" s="58">
        <v>45490</v>
      </c>
      <c r="C217" s="58" t="str">
        <f t="shared" si="3"/>
        <v>July</v>
      </c>
      <c r="D217" s="57" t="s">
        <v>72</v>
      </c>
      <c r="E217" s="57" t="s">
        <v>73</v>
      </c>
      <c r="F217" s="57" t="s">
        <v>44</v>
      </c>
      <c r="G217" s="57" t="s">
        <v>45</v>
      </c>
      <c r="H217" s="57" t="s">
        <v>46</v>
      </c>
      <c r="I217" s="57">
        <v>3</v>
      </c>
      <c r="J217" s="57">
        <v>149.99</v>
      </c>
      <c r="K217" s="57" t="s">
        <v>20</v>
      </c>
      <c r="L217" s="57" t="s">
        <v>21</v>
      </c>
      <c r="M217" s="57" t="s">
        <v>27</v>
      </c>
      <c r="N217" s="58">
        <v>45199</v>
      </c>
      <c r="O217" s="57">
        <v>449.97</v>
      </c>
    </row>
    <row r="218" spans="1:15" x14ac:dyDescent="0.25">
      <c r="A218" s="57" t="s">
        <v>208</v>
      </c>
      <c r="B218" s="58">
        <v>45503</v>
      </c>
      <c r="C218" s="58" t="str">
        <f t="shared" si="3"/>
        <v>July</v>
      </c>
      <c r="D218" s="57" t="s">
        <v>86</v>
      </c>
      <c r="E218" s="57" t="s">
        <v>87</v>
      </c>
      <c r="F218" s="57" t="s">
        <v>80</v>
      </c>
      <c r="G218" s="57" t="s">
        <v>81</v>
      </c>
      <c r="H218" s="57" t="s">
        <v>19</v>
      </c>
      <c r="I218" s="57">
        <v>2</v>
      </c>
      <c r="J218" s="57">
        <v>699.99</v>
      </c>
      <c r="K218" s="57" t="s">
        <v>26</v>
      </c>
      <c r="L218" s="57" t="s">
        <v>40</v>
      </c>
      <c r="M218" s="57" t="s">
        <v>27</v>
      </c>
      <c r="N218" s="58">
        <v>44999</v>
      </c>
      <c r="O218" s="57">
        <v>1399.98</v>
      </c>
    </row>
    <row r="219" spans="1:15" x14ac:dyDescent="0.25">
      <c r="A219" s="57" t="s">
        <v>265</v>
      </c>
      <c r="B219" s="58">
        <v>45573</v>
      </c>
      <c r="C219" s="58" t="str">
        <f t="shared" si="3"/>
        <v>October</v>
      </c>
      <c r="D219" s="57" t="s">
        <v>231</v>
      </c>
      <c r="E219" s="57" t="s">
        <v>232</v>
      </c>
      <c r="F219" s="57" t="s">
        <v>44</v>
      </c>
      <c r="G219" s="57" t="s">
        <v>45</v>
      </c>
      <c r="H219" s="57" t="s">
        <v>46</v>
      </c>
      <c r="I219" s="57">
        <v>3</v>
      </c>
      <c r="J219" s="57">
        <v>149.99</v>
      </c>
      <c r="K219" s="57" t="s">
        <v>26</v>
      </c>
      <c r="L219" s="57" t="s">
        <v>35</v>
      </c>
      <c r="M219" s="57" t="s">
        <v>36</v>
      </c>
      <c r="N219" s="58">
        <v>44940</v>
      </c>
      <c r="O219" s="57">
        <v>449.97</v>
      </c>
    </row>
    <row r="220" spans="1:15" x14ac:dyDescent="0.25">
      <c r="A220" s="57" t="s">
        <v>351</v>
      </c>
      <c r="B220" s="58">
        <v>45692</v>
      </c>
      <c r="C220" s="58" t="str">
        <f t="shared" si="3"/>
        <v>February</v>
      </c>
      <c r="D220" s="57" t="s">
        <v>325</v>
      </c>
      <c r="E220" s="57" t="s">
        <v>326</v>
      </c>
      <c r="F220" s="57" t="s">
        <v>31</v>
      </c>
      <c r="G220" s="57" t="s">
        <v>32</v>
      </c>
      <c r="H220" s="57" t="s">
        <v>33</v>
      </c>
      <c r="I220" s="57">
        <v>1</v>
      </c>
      <c r="J220" s="57">
        <v>59.99</v>
      </c>
      <c r="K220" s="57" t="s">
        <v>57</v>
      </c>
      <c r="L220" s="57" t="s">
        <v>21</v>
      </c>
      <c r="M220" s="57" t="s">
        <v>36</v>
      </c>
      <c r="N220" s="58">
        <v>45045</v>
      </c>
      <c r="O220" s="57">
        <v>59.99</v>
      </c>
    </row>
    <row r="221" spans="1:15" x14ac:dyDescent="0.25">
      <c r="A221" s="57" t="s">
        <v>160</v>
      </c>
      <c r="B221" s="58">
        <v>45450</v>
      </c>
      <c r="C221" s="58" t="str">
        <f t="shared" si="3"/>
        <v>June</v>
      </c>
      <c r="D221" s="57" t="s">
        <v>42</v>
      </c>
      <c r="E221" s="57" t="s">
        <v>43</v>
      </c>
      <c r="F221" s="57" t="s">
        <v>44</v>
      </c>
      <c r="G221" s="57" t="s">
        <v>45</v>
      </c>
      <c r="H221" s="57" t="s">
        <v>46</v>
      </c>
      <c r="I221" s="57">
        <v>2</v>
      </c>
      <c r="J221" s="57">
        <v>149.99</v>
      </c>
      <c r="K221" s="57" t="s">
        <v>20</v>
      </c>
      <c r="L221" s="57" t="s">
        <v>63</v>
      </c>
      <c r="M221" s="57" t="s">
        <v>27</v>
      </c>
      <c r="N221" s="58">
        <v>44645</v>
      </c>
      <c r="O221" s="57">
        <v>299.98</v>
      </c>
    </row>
    <row r="222" spans="1:15" x14ac:dyDescent="0.25">
      <c r="A222" s="57" t="s">
        <v>362</v>
      </c>
      <c r="B222" s="58">
        <v>45708</v>
      </c>
      <c r="C222" s="58" t="str">
        <f t="shared" si="3"/>
        <v>February</v>
      </c>
      <c r="D222" s="57" t="s">
        <v>192</v>
      </c>
      <c r="E222" s="57" t="s">
        <v>193</v>
      </c>
      <c r="F222" s="57" t="s">
        <v>126</v>
      </c>
      <c r="G222" s="57" t="s">
        <v>127</v>
      </c>
      <c r="H222" s="57" t="s">
        <v>46</v>
      </c>
      <c r="I222" s="57">
        <v>3</v>
      </c>
      <c r="J222" s="57">
        <v>199.99</v>
      </c>
      <c r="K222" s="57" t="s">
        <v>20</v>
      </c>
      <c r="L222" s="57" t="s">
        <v>50</v>
      </c>
      <c r="M222" s="57" t="s">
        <v>27</v>
      </c>
      <c r="N222" s="58">
        <v>44823</v>
      </c>
      <c r="O222" s="57">
        <v>599.97</v>
      </c>
    </row>
    <row r="223" spans="1:15" x14ac:dyDescent="0.25">
      <c r="A223" s="57" t="s">
        <v>92</v>
      </c>
      <c r="B223" s="58">
        <v>45410</v>
      </c>
      <c r="C223" s="58" t="str">
        <f t="shared" si="3"/>
        <v>April</v>
      </c>
      <c r="D223" s="57" t="s">
        <v>93</v>
      </c>
      <c r="E223" s="57" t="s">
        <v>94</v>
      </c>
      <c r="F223" s="57" t="s">
        <v>17</v>
      </c>
      <c r="G223" s="57" t="s">
        <v>18</v>
      </c>
      <c r="H223" s="57" t="s">
        <v>19</v>
      </c>
      <c r="I223" s="57">
        <v>3</v>
      </c>
      <c r="J223" s="57">
        <v>249.99</v>
      </c>
      <c r="K223" s="57" t="s">
        <v>26</v>
      </c>
      <c r="L223" s="57" t="s">
        <v>40</v>
      </c>
      <c r="M223" s="57" t="s">
        <v>27</v>
      </c>
      <c r="N223" s="58">
        <v>45224</v>
      </c>
      <c r="O223" s="57">
        <v>749.97</v>
      </c>
    </row>
    <row r="224" spans="1:15" x14ac:dyDescent="0.25">
      <c r="A224" s="57" t="s">
        <v>330</v>
      </c>
      <c r="B224" s="58">
        <v>45667</v>
      </c>
      <c r="C224" s="58" t="str">
        <f t="shared" si="3"/>
        <v>January</v>
      </c>
      <c r="D224" s="57" t="s">
        <v>108</v>
      </c>
      <c r="E224" s="57" t="s">
        <v>109</v>
      </c>
      <c r="F224" s="57" t="s">
        <v>126</v>
      </c>
      <c r="G224" s="57" t="s">
        <v>127</v>
      </c>
      <c r="H224" s="57" t="s">
        <v>46</v>
      </c>
      <c r="I224" s="57">
        <v>5</v>
      </c>
      <c r="J224" s="57">
        <v>199.99</v>
      </c>
      <c r="K224" s="57" t="s">
        <v>34</v>
      </c>
      <c r="L224" s="57" t="s">
        <v>21</v>
      </c>
      <c r="M224" s="57" t="s">
        <v>36</v>
      </c>
      <c r="N224" s="58">
        <v>44633</v>
      </c>
      <c r="O224" s="57">
        <v>999.95</v>
      </c>
    </row>
    <row r="225" spans="1:15" x14ac:dyDescent="0.25">
      <c r="A225" s="57" t="s">
        <v>310</v>
      </c>
      <c r="B225" s="58">
        <v>45641</v>
      </c>
      <c r="C225" s="58" t="str">
        <f t="shared" si="3"/>
        <v>December</v>
      </c>
      <c r="D225" s="57" t="s">
        <v>138</v>
      </c>
      <c r="E225" s="57" t="s">
        <v>139</v>
      </c>
      <c r="F225" s="57" t="s">
        <v>105</v>
      </c>
      <c r="G225" s="57" t="s">
        <v>106</v>
      </c>
      <c r="H225" s="57" t="s">
        <v>46</v>
      </c>
      <c r="I225" s="57">
        <v>2</v>
      </c>
      <c r="J225" s="57">
        <v>299.99</v>
      </c>
      <c r="K225" s="57" t="s">
        <v>20</v>
      </c>
      <c r="L225" s="57" t="s">
        <v>63</v>
      </c>
      <c r="M225" s="57" t="s">
        <v>27</v>
      </c>
      <c r="N225" s="58">
        <v>44724</v>
      </c>
      <c r="O225" s="57">
        <v>599.98</v>
      </c>
    </row>
    <row r="226" spans="1:15" x14ac:dyDescent="0.25">
      <c r="A226" s="57" t="s">
        <v>238</v>
      </c>
      <c r="B226" s="58">
        <v>45538</v>
      </c>
      <c r="C226" s="58" t="str">
        <f t="shared" si="3"/>
        <v>September</v>
      </c>
      <c r="D226" s="57" t="s">
        <v>226</v>
      </c>
      <c r="E226" s="57" t="s">
        <v>227</v>
      </c>
      <c r="F226" s="57" t="s">
        <v>80</v>
      </c>
      <c r="G226" s="57" t="s">
        <v>81</v>
      </c>
      <c r="H226" s="57" t="s">
        <v>19</v>
      </c>
      <c r="I226" s="57">
        <v>2</v>
      </c>
      <c r="J226" s="57">
        <v>699.99</v>
      </c>
      <c r="K226" s="57" t="s">
        <v>57</v>
      </c>
      <c r="L226" s="57" t="s">
        <v>21</v>
      </c>
      <c r="M226" s="57" t="s">
        <v>27</v>
      </c>
      <c r="N226" s="58">
        <v>44870</v>
      </c>
      <c r="O226" s="57">
        <v>1399.98</v>
      </c>
    </row>
    <row r="227" spans="1:15" x14ac:dyDescent="0.25">
      <c r="A227" s="57" t="s">
        <v>372</v>
      </c>
      <c r="B227" s="58">
        <v>45720</v>
      </c>
      <c r="C227" s="58" t="str">
        <f t="shared" si="3"/>
        <v>March</v>
      </c>
      <c r="D227" s="57" t="s">
        <v>226</v>
      </c>
      <c r="E227" s="57" t="s">
        <v>227</v>
      </c>
      <c r="F227" s="57" t="s">
        <v>80</v>
      </c>
      <c r="G227" s="57" t="s">
        <v>81</v>
      </c>
      <c r="H227" s="57" t="s">
        <v>19</v>
      </c>
      <c r="I227" s="57">
        <v>5</v>
      </c>
      <c r="J227" s="57">
        <v>699.99</v>
      </c>
      <c r="K227" s="57" t="s">
        <v>57</v>
      </c>
      <c r="L227" s="57" t="s">
        <v>63</v>
      </c>
      <c r="M227" s="57" t="s">
        <v>27</v>
      </c>
      <c r="N227" s="58">
        <v>45161</v>
      </c>
      <c r="O227" s="57">
        <v>3499.95</v>
      </c>
    </row>
    <row r="228" spans="1:15" x14ac:dyDescent="0.25">
      <c r="A228" s="57" t="s">
        <v>371</v>
      </c>
      <c r="B228" s="58">
        <v>45718</v>
      </c>
      <c r="C228" s="58" t="str">
        <f t="shared" si="3"/>
        <v>March</v>
      </c>
      <c r="D228" s="57" t="s">
        <v>55</v>
      </c>
      <c r="E228" s="57" t="s">
        <v>56</v>
      </c>
      <c r="F228" s="57" t="s">
        <v>44</v>
      </c>
      <c r="G228" s="57" t="s">
        <v>45</v>
      </c>
      <c r="H228" s="57" t="s">
        <v>46</v>
      </c>
      <c r="I228" s="57">
        <v>2</v>
      </c>
      <c r="J228" s="57">
        <v>149.99</v>
      </c>
      <c r="K228" s="57" t="s">
        <v>20</v>
      </c>
      <c r="L228" s="57" t="s">
        <v>21</v>
      </c>
      <c r="M228" s="57" t="s">
        <v>22</v>
      </c>
      <c r="N228" s="58">
        <v>45068</v>
      </c>
      <c r="O228" s="57">
        <v>299.98</v>
      </c>
    </row>
    <row r="229" spans="1:15" x14ac:dyDescent="0.25">
      <c r="A229" s="57" t="s">
        <v>205</v>
      </c>
      <c r="B229" s="58">
        <v>45500</v>
      </c>
      <c r="C229" s="58" t="str">
        <f t="shared" si="3"/>
        <v>July</v>
      </c>
      <c r="D229" s="57" t="s">
        <v>147</v>
      </c>
      <c r="E229" s="57" t="s">
        <v>148</v>
      </c>
      <c r="F229" s="57" t="s">
        <v>105</v>
      </c>
      <c r="G229" s="57" t="s">
        <v>106</v>
      </c>
      <c r="H229" s="57" t="s">
        <v>46</v>
      </c>
      <c r="I229" s="57">
        <v>1</v>
      </c>
      <c r="J229" s="57">
        <v>299.99</v>
      </c>
      <c r="K229" s="57" t="s">
        <v>20</v>
      </c>
      <c r="L229" s="57" t="s">
        <v>35</v>
      </c>
      <c r="M229" s="57" t="s">
        <v>22</v>
      </c>
      <c r="N229" s="58">
        <v>44982</v>
      </c>
      <c r="O229" s="57">
        <v>299.99</v>
      </c>
    </row>
    <row r="230" spans="1:15" x14ac:dyDescent="0.25">
      <c r="A230" s="57" t="s">
        <v>369</v>
      </c>
      <c r="B230" s="58">
        <v>45715</v>
      </c>
      <c r="C230" s="58" t="str">
        <f t="shared" si="3"/>
        <v>February</v>
      </c>
      <c r="D230" s="57" t="s">
        <v>259</v>
      </c>
      <c r="E230" s="57" t="s">
        <v>260</v>
      </c>
      <c r="F230" s="57" t="s">
        <v>31</v>
      </c>
      <c r="G230" s="57" t="s">
        <v>32</v>
      </c>
      <c r="H230" s="57" t="s">
        <v>33</v>
      </c>
      <c r="I230" s="57">
        <v>4</v>
      </c>
      <c r="J230" s="57">
        <v>59.99</v>
      </c>
      <c r="K230" s="57" t="s">
        <v>20</v>
      </c>
      <c r="L230" s="57" t="s">
        <v>50</v>
      </c>
      <c r="M230" s="57" t="s">
        <v>36</v>
      </c>
      <c r="N230" s="58">
        <v>45070</v>
      </c>
      <c r="O230" s="57">
        <v>239.96</v>
      </c>
    </row>
    <row r="231" spans="1:15" x14ac:dyDescent="0.25">
      <c r="A231" s="57" t="s">
        <v>82</v>
      </c>
      <c r="B231" s="58">
        <v>45409</v>
      </c>
      <c r="C231" s="58" t="str">
        <f t="shared" si="3"/>
        <v>April</v>
      </c>
      <c r="D231" s="57" t="s">
        <v>83</v>
      </c>
      <c r="E231" s="57" t="s">
        <v>84</v>
      </c>
      <c r="F231" s="57" t="s">
        <v>61</v>
      </c>
      <c r="G231" s="57" t="s">
        <v>62</v>
      </c>
      <c r="H231" s="57" t="s">
        <v>19</v>
      </c>
      <c r="I231" s="57">
        <v>1</v>
      </c>
      <c r="J231" s="57">
        <v>899.99</v>
      </c>
      <c r="K231" s="57" t="s">
        <v>57</v>
      </c>
      <c r="L231" s="57" t="s">
        <v>40</v>
      </c>
      <c r="M231" s="57" t="s">
        <v>36</v>
      </c>
      <c r="N231" s="58">
        <v>44920</v>
      </c>
      <c r="O231" s="57">
        <v>899.99</v>
      </c>
    </row>
    <row r="232" spans="1:15" x14ac:dyDescent="0.25">
      <c r="A232" s="57" t="s">
        <v>95</v>
      </c>
      <c r="B232" s="58">
        <v>45412</v>
      </c>
      <c r="C232" s="58" t="str">
        <f t="shared" si="3"/>
        <v>April</v>
      </c>
      <c r="D232" s="57" t="s">
        <v>96</v>
      </c>
      <c r="E232" s="57" t="s">
        <v>97</v>
      </c>
      <c r="F232" s="57" t="s">
        <v>80</v>
      </c>
      <c r="G232" s="57" t="s">
        <v>81</v>
      </c>
      <c r="H232" s="57" t="s">
        <v>19</v>
      </c>
      <c r="I232" s="57">
        <v>5</v>
      </c>
      <c r="J232" s="57">
        <v>699.99</v>
      </c>
      <c r="K232" s="57" t="s">
        <v>20</v>
      </c>
      <c r="L232" s="57" t="s">
        <v>50</v>
      </c>
      <c r="M232" s="57" t="s">
        <v>22</v>
      </c>
      <c r="N232" s="58">
        <v>45167</v>
      </c>
      <c r="O232" s="57">
        <v>3499.95</v>
      </c>
    </row>
    <row r="233" spans="1:15" x14ac:dyDescent="0.25">
      <c r="A233" s="57" t="s">
        <v>135</v>
      </c>
      <c r="B233" s="58">
        <v>45434</v>
      </c>
      <c r="C233" s="58" t="str">
        <f t="shared" si="3"/>
        <v>May</v>
      </c>
      <c r="D233" s="57" t="s">
        <v>99</v>
      </c>
      <c r="E233" s="57" t="s">
        <v>100</v>
      </c>
      <c r="F233" s="57" t="s">
        <v>105</v>
      </c>
      <c r="G233" s="57" t="s">
        <v>106</v>
      </c>
      <c r="H233" s="57" t="s">
        <v>46</v>
      </c>
      <c r="I233" s="57">
        <v>3</v>
      </c>
      <c r="J233" s="57">
        <v>299.99</v>
      </c>
      <c r="K233" s="57" t="s">
        <v>26</v>
      </c>
      <c r="L233" s="57" t="s">
        <v>63</v>
      </c>
      <c r="M233" s="57" t="s">
        <v>22</v>
      </c>
      <c r="N233" s="58">
        <v>44824</v>
      </c>
      <c r="O233" s="57">
        <v>899.97</v>
      </c>
    </row>
    <row r="234" spans="1:15" x14ac:dyDescent="0.25">
      <c r="A234" s="57" t="s">
        <v>374</v>
      </c>
      <c r="B234" s="58">
        <v>45723</v>
      </c>
      <c r="C234" s="58" t="str">
        <f t="shared" si="3"/>
        <v>March</v>
      </c>
      <c r="D234" s="57" t="s">
        <v>15</v>
      </c>
      <c r="E234" s="57" t="s">
        <v>16</v>
      </c>
      <c r="F234" s="57" t="s">
        <v>117</v>
      </c>
      <c r="G234" s="57" t="s">
        <v>118</v>
      </c>
      <c r="H234" s="57" t="s">
        <v>19</v>
      </c>
      <c r="I234" s="57">
        <v>2</v>
      </c>
      <c r="J234" s="57">
        <v>89.99</v>
      </c>
      <c r="K234" s="57" t="s">
        <v>26</v>
      </c>
      <c r="L234" s="57" t="s">
        <v>50</v>
      </c>
      <c r="M234" s="57" t="s">
        <v>27</v>
      </c>
      <c r="N234" s="58">
        <v>45295</v>
      </c>
      <c r="O234" s="57">
        <v>179.98</v>
      </c>
    </row>
    <row r="235" spans="1:15" x14ac:dyDescent="0.25">
      <c r="A235" s="57" t="s">
        <v>156</v>
      </c>
      <c r="B235" s="58">
        <v>45449</v>
      </c>
      <c r="C235" s="58" t="str">
        <f t="shared" si="3"/>
        <v>June</v>
      </c>
      <c r="D235" s="57" t="s">
        <v>24</v>
      </c>
      <c r="E235" s="57" t="s">
        <v>25</v>
      </c>
      <c r="F235" s="57" t="s">
        <v>17</v>
      </c>
      <c r="G235" s="57" t="s">
        <v>18</v>
      </c>
      <c r="H235" s="57" t="s">
        <v>19</v>
      </c>
      <c r="I235" s="57">
        <v>5</v>
      </c>
      <c r="J235" s="57">
        <v>249.99</v>
      </c>
      <c r="K235" s="57" t="s">
        <v>26</v>
      </c>
      <c r="L235" s="57" t="s">
        <v>63</v>
      </c>
      <c r="M235" s="57" t="s">
        <v>36</v>
      </c>
      <c r="N235" s="58">
        <v>44707</v>
      </c>
      <c r="O235" s="57">
        <v>1249.95</v>
      </c>
    </row>
    <row r="236" spans="1:15" x14ac:dyDescent="0.25">
      <c r="A236" s="57" t="s">
        <v>111</v>
      </c>
      <c r="B236" s="58">
        <v>45424</v>
      </c>
      <c r="C236" s="58" t="str">
        <f t="shared" si="3"/>
        <v>May</v>
      </c>
      <c r="D236" s="57" t="s">
        <v>112</v>
      </c>
      <c r="E236" s="57" t="s">
        <v>113</v>
      </c>
      <c r="F236" s="57" t="s">
        <v>114</v>
      </c>
      <c r="G236" s="57" t="s">
        <v>115</v>
      </c>
      <c r="H236" s="57" t="s">
        <v>33</v>
      </c>
      <c r="I236" s="57">
        <v>3</v>
      </c>
      <c r="J236" s="57">
        <v>79.989999999999995</v>
      </c>
      <c r="K236" s="57" t="s">
        <v>34</v>
      </c>
      <c r="L236" s="57" t="s">
        <v>63</v>
      </c>
      <c r="M236" s="57" t="s">
        <v>27</v>
      </c>
      <c r="N236" s="58">
        <v>45012</v>
      </c>
      <c r="O236" s="57">
        <v>239.97</v>
      </c>
    </row>
    <row r="237" spans="1:15" x14ac:dyDescent="0.25">
      <c r="A237" s="57" t="s">
        <v>224</v>
      </c>
      <c r="B237" s="58">
        <v>45526</v>
      </c>
      <c r="C237" s="58" t="str">
        <f t="shared" si="3"/>
        <v>August</v>
      </c>
      <c r="D237" s="57" t="s">
        <v>102</v>
      </c>
      <c r="E237" s="57" t="s">
        <v>103</v>
      </c>
      <c r="F237" s="57" t="s">
        <v>44</v>
      </c>
      <c r="G237" s="57" t="s">
        <v>45</v>
      </c>
      <c r="H237" s="57" t="s">
        <v>46</v>
      </c>
      <c r="I237" s="57">
        <v>5</v>
      </c>
      <c r="J237" s="57">
        <v>149.99</v>
      </c>
      <c r="K237" s="57" t="s">
        <v>26</v>
      </c>
      <c r="L237" s="57" t="s">
        <v>21</v>
      </c>
      <c r="M237" s="57" t="s">
        <v>22</v>
      </c>
      <c r="N237" s="58">
        <v>45310</v>
      </c>
      <c r="O237" s="57">
        <v>749.95</v>
      </c>
    </row>
    <row r="238" spans="1:15" x14ac:dyDescent="0.25">
      <c r="A238" s="57" t="s">
        <v>327</v>
      </c>
      <c r="B238" s="58">
        <v>45663</v>
      </c>
      <c r="C238" s="58" t="str">
        <f t="shared" si="3"/>
        <v>January</v>
      </c>
      <c r="D238" s="57" t="s">
        <v>129</v>
      </c>
      <c r="E238" s="57" t="s">
        <v>130</v>
      </c>
      <c r="F238" s="57" t="s">
        <v>52</v>
      </c>
      <c r="G238" s="57" t="s">
        <v>53</v>
      </c>
      <c r="H238" s="57" t="s">
        <v>19</v>
      </c>
      <c r="I238" s="57">
        <v>5</v>
      </c>
      <c r="J238" s="57">
        <v>149.99</v>
      </c>
      <c r="K238" s="57" t="s">
        <v>34</v>
      </c>
      <c r="L238" s="57" t="s">
        <v>63</v>
      </c>
      <c r="M238" s="57" t="s">
        <v>27</v>
      </c>
      <c r="N238" s="58">
        <v>44824</v>
      </c>
      <c r="O238" s="57">
        <v>749.95</v>
      </c>
    </row>
    <row r="239" spans="1:15" x14ac:dyDescent="0.25">
      <c r="A239" s="57" t="s">
        <v>333</v>
      </c>
      <c r="B239" s="58">
        <v>45668</v>
      </c>
      <c r="C239" s="58" t="str">
        <f t="shared" si="3"/>
        <v>January</v>
      </c>
      <c r="D239" s="57" t="s">
        <v>78</v>
      </c>
      <c r="E239" s="57" t="s">
        <v>79</v>
      </c>
      <c r="F239" s="57" t="s">
        <v>80</v>
      </c>
      <c r="G239" s="57" t="s">
        <v>81</v>
      </c>
      <c r="H239" s="57" t="s">
        <v>19</v>
      </c>
      <c r="I239" s="57">
        <v>3</v>
      </c>
      <c r="J239" s="57">
        <v>699.99</v>
      </c>
      <c r="K239" s="57" t="s">
        <v>20</v>
      </c>
      <c r="L239" s="57" t="s">
        <v>40</v>
      </c>
      <c r="M239" s="57" t="s">
        <v>27</v>
      </c>
      <c r="N239" s="58">
        <v>44602</v>
      </c>
      <c r="O239" s="57">
        <v>2099.9699999999998</v>
      </c>
    </row>
    <row r="240" spans="1:15" x14ac:dyDescent="0.25">
      <c r="A240" s="57" t="s">
        <v>98</v>
      </c>
      <c r="B240" s="58">
        <v>45413</v>
      </c>
      <c r="C240" s="58" t="str">
        <f t="shared" si="3"/>
        <v>May</v>
      </c>
      <c r="D240" s="57" t="s">
        <v>99</v>
      </c>
      <c r="E240" s="57" t="s">
        <v>100</v>
      </c>
      <c r="F240" s="57" t="s">
        <v>80</v>
      </c>
      <c r="G240" s="57" t="s">
        <v>81</v>
      </c>
      <c r="H240" s="57" t="s">
        <v>19</v>
      </c>
      <c r="I240" s="57">
        <v>4</v>
      </c>
      <c r="J240" s="57">
        <v>699.99</v>
      </c>
      <c r="K240" s="57" t="s">
        <v>20</v>
      </c>
      <c r="L240" s="57" t="s">
        <v>63</v>
      </c>
      <c r="M240" s="57" t="s">
        <v>36</v>
      </c>
      <c r="N240" s="58">
        <v>44409</v>
      </c>
      <c r="O240" s="57">
        <v>2799.96</v>
      </c>
    </row>
    <row r="241" spans="1:15" x14ac:dyDescent="0.25">
      <c r="A241" s="57" t="s">
        <v>54</v>
      </c>
      <c r="B241" s="58">
        <v>45403</v>
      </c>
      <c r="C241" s="58" t="str">
        <f t="shared" si="3"/>
        <v>April</v>
      </c>
      <c r="D241" s="57" t="s">
        <v>55</v>
      </c>
      <c r="E241" s="57" t="s">
        <v>56</v>
      </c>
      <c r="F241" s="57" t="s">
        <v>31</v>
      </c>
      <c r="G241" s="57" t="s">
        <v>32</v>
      </c>
      <c r="H241" s="57" t="s">
        <v>33</v>
      </c>
      <c r="I241" s="57">
        <v>3</v>
      </c>
      <c r="J241" s="57">
        <v>59.99</v>
      </c>
      <c r="K241" s="57" t="s">
        <v>57</v>
      </c>
      <c r="L241" s="57" t="s">
        <v>35</v>
      </c>
      <c r="M241" s="57" t="s">
        <v>22</v>
      </c>
      <c r="N241" s="58">
        <v>45007</v>
      </c>
      <c r="O241" s="57">
        <v>179.97</v>
      </c>
    </row>
    <row r="242" spans="1:15" x14ac:dyDescent="0.25">
      <c r="A242" s="57" t="s">
        <v>122</v>
      </c>
      <c r="B242" s="58">
        <v>45427</v>
      </c>
      <c r="C242" s="58" t="str">
        <f t="shared" si="3"/>
        <v>May</v>
      </c>
      <c r="D242" s="57" t="s">
        <v>123</v>
      </c>
      <c r="E242" s="57" t="s">
        <v>124</v>
      </c>
      <c r="F242" s="57" t="s">
        <v>31</v>
      </c>
      <c r="G242" s="57" t="s">
        <v>32</v>
      </c>
      <c r="H242" s="57" t="s">
        <v>33</v>
      </c>
      <c r="I242" s="57">
        <v>4</v>
      </c>
      <c r="J242" s="57">
        <v>59.99</v>
      </c>
      <c r="K242" s="57" t="s">
        <v>57</v>
      </c>
      <c r="L242" s="57" t="s">
        <v>63</v>
      </c>
      <c r="M242" s="57" t="s">
        <v>36</v>
      </c>
      <c r="N242" s="58">
        <v>44867</v>
      </c>
      <c r="O242" s="57">
        <v>239.96</v>
      </c>
    </row>
    <row r="243" spans="1:15" x14ac:dyDescent="0.25">
      <c r="A243" s="57" t="s">
        <v>104</v>
      </c>
      <c r="B243" s="58">
        <v>45416</v>
      </c>
      <c r="C243" s="58" t="str">
        <f t="shared" si="3"/>
        <v>May</v>
      </c>
      <c r="D243" s="57" t="s">
        <v>86</v>
      </c>
      <c r="E243" s="57" t="s">
        <v>87</v>
      </c>
      <c r="F243" s="57" t="s">
        <v>105</v>
      </c>
      <c r="G243" s="57" t="s">
        <v>106</v>
      </c>
      <c r="H243" s="57" t="s">
        <v>46</v>
      </c>
      <c r="I243" s="57">
        <v>4</v>
      </c>
      <c r="J243" s="57">
        <v>299.99</v>
      </c>
      <c r="K243" s="57" t="s">
        <v>20</v>
      </c>
      <c r="L243" s="57" t="s">
        <v>50</v>
      </c>
      <c r="M243" s="57" t="s">
        <v>27</v>
      </c>
      <c r="N243" s="58">
        <v>44716</v>
      </c>
      <c r="O243" s="57">
        <v>1199.96</v>
      </c>
    </row>
    <row r="244" spans="1:15" x14ac:dyDescent="0.25">
      <c r="A244" s="57" t="s">
        <v>331</v>
      </c>
      <c r="B244" s="58">
        <v>45667</v>
      </c>
      <c r="C244" s="58" t="str">
        <f t="shared" si="3"/>
        <v>January</v>
      </c>
      <c r="D244" s="57" t="s">
        <v>93</v>
      </c>
      <c r="E244" s="57" t="s">
        <v>94</v>
      </c>
      <c r="F244" s="57" t="s">
        <v>17</v>
      </c>
      <c r="G244" s="57" t="s">
        <v>18</v>
      </c>
      <c r="H244" s="57" t="s">
        <v>19</v>
      </c>
      <c r="I244" s="57">
        <v>5</v>
      </c>
      <c r="J244" s="57">
        <v>249.99</v>
      </c>
      <c r="K244" s="57" t="s">
        <v>26</v>
      </c>
      <c r="L244" s="57" t="s">
        <v>35</v>
      </c>
      <c r="M244" s="57" t="s">
        <v>22</v>
      </c>
      <c r="N244" s="58">
        <v>45330</v>
      </c>
      <c r="O244" s="57">
        <v>1249.95</v>
      </c>
    </row>
    <row r="245" spans="1:15" x14ac:dyDescent="0.25">
      <c r="A245" s="57" t="s">
        <v>201</v>
      </c>
      <c r="B245" s="58">
        <v>45497</v>
      </c>
      <c r="C245" s="58" t="str">
        <f t="shared" si="3"/>
        <v>July</v>
      </c>
      <c r="D245" s="57" t="s">
        <v>24</v>
      </c>
      <c r="E245" s="57" t="s">
        <v>25</v>
      </c>
      <c r="F245" s="57" t="s">
        <v>61</v>
      </c>
      <c r="G245" s="57" t="s">
        <v>62</v>
      </c>
      <c r="H245" s="57" t="s">
        <v>19</v>
      </c>
      <c r="I245" s="57">
        <v>5</v>
      </c>
      <c r="J245" s="57">
        <v>899.99</v>
      </c>
      <c r="K245" s="57" t="s">
        <v>57</v>
      </c>
      <c r="L245" s="57" t="s">
        <v>35</v>
      </c>
      <c r="M245" s="57" t="s">
        <v>36</v>
      </c>
      <c r="N245" s="58">
        <v>44899</v>
      </c>
      <c r="O245" s="57">
        <v>4499.95</v>
      </c>
    </row>
    <row r="246" spans="1:15" x14ac:dyDescent="0.25">
      <c r="A246" s="57" t="s">
        <v>137</v>
      </c>
      <c r="B246" s="58">
        <v>45438</v>
      </c>
      <c r="C246" s="58" t="str">
        <f t="shared" si="3"/>
        <v>May</v>
      </c>
      <c r="D246" s="57" t="s">
        <v>138</v>
      </c>
      <c r="E246" s="57" t="s">
        <v>139</v>
      </c>
      <c r="F246" s="57" t="s">
        <v>126</v>
      </c>
      <c r="G246" s="57" t="s">
        <v>127</v>
      </c>
      <c r="H246" s="57" t="s">
        <v>46</v>
      </c>
      <c r="I246" s="57">
        <v>3</v>
      </c>
      <c r="J246" s="57">
        <v>199.99</v>
      </c>
      <c r="K246" s="57" t="s">
        <v>26</v>
      </c>
      <c r="L246" s="57" t="s">
        <v>40</v>
      </c>
      <c r="M246" s="57" t="s">
        <v>27</v>
      </c>
      <c r="N246" s="58">
        <v>45292</v>
      </c>
      <c r="O246" s="57">
        <v>599.97</v>
      </c>
    </row>
    <row r="247" spans="1:15" x14ac:dyDescent="0.25">
      <c r="A247" s="57" t="s">
        <v>71</v>
      </c>
      <c r="B247" s="58">
        <v>45408</v>
      </c>
      <c r="C247" s="58" t="str">
        <f t="shared" si="3"/>
        <v>April</v>
      </c>
      <c r="D247" s="57" t="s">
        <v>72</v>
      </c>
      <c r="E247" s="57" t="s">
        <v>73</v>
      </c>
      <c r="F247" s="57" t="s">
        <v>44</v>
      </c>
      <c r="G247" s="57" t="s">
        <v>45</v>
      </c>
      <c r="H247" s="57" t="s">
        <v>46</v>
      </c>
      <c r="I247" s="57">
        <v>3</v>
      </c>
      <c r="J247" s="57">
        <v>149.99</v>
      </c>
      <c r="K247" s="57" t="s">
        <v>20</v>
      </c>
      <c r="L247" s="57" t="s">
        <v>40</v>
      </c>
      <c r="M247" s="57" t="s">
        <v>27</v>
      </c>
      <c r="N247" s="58">
        <v>44806</v>
      </c>
      <c r="O247" s="57">
        <v>449.97</v>
      </c>
    </row>
    <row r="248" spans="1:15" x14ac:dyDescent="0.25">
      <c r="A248" s="57" t="s">
        <v>219</v>
      </c>
      <c r="B248" s="58">
        <v>45517</v>
      </c>
      <c r="C248" s="58" t="str">
        <f t="shared" si="3"/>
        <v>August</v>
      </c>
      <c r="D248" s="57" t="s">
        <v>38</v>
      </c>
      <c r="E248" s="57" t="s">
        <v>39</v>
      </c>
      <c r="F248" s="57" t="s">
        <v>126</v>
      </c>
      <c r="G248" s="57" t="s">
        <v>127</v>
      </c>
      <c r="H248" s="57" t="s">
        <v>46</v>
      </c>
      <c r="I248" s="57">
        <v>4</v>
      </c>
      <c r="J248" s="57">
        <v>199.99</v>
      </c>
      <c r="K248" s="57" t="s">
        <v>20</v>
      </c>
      <c r="L248" s="57" t="s">
        <v>40</v>
      </c>
      <c r="M248" s="57" t="s">
        <v>36</v>
      </c>
      <c r="N248" s="58">
        <v>44458</v>
      </c>
      <c r="O248" s="57">
        <v>799.96</v>
      </c>
    </row>
    <row r="249" spans="1:15" x14ac:dyDescent="0.25">
      <c r="A249" s="57" t="s">
        <v>233</v>
      </c>
      <c r="B249" s="58">
        <v>45534</v>
      </c>
      <c r="C249" s="58" t="str">
        <f t="shared" si="3"/>
        <v>August</v>
      </c>
      <c r="D249" s="57" t="s">
        <v>234</v>
      </c>
      <c r="E249" s="57" t="s">
        <v>235</v>
      </c>
      <c r="F249" s="57" t="s">
        <v>80</v>
      </c>
      <c r="G249" s="57" t="s">
        <v>81</v>
      </c>
      <c r="H249" s="57" t="s">
        <v>19</v>
      </c>
      <c r="I249" s="57">
        <v>2</v>
      </c>
      <c r="J249" s="57">
        <v>699.99</v>
      </c>
      <c r="K249" s="57" t="s">
        <v>26</v>
      </c>
      <c r="L249" s="57" t="s">
        <v>40</v>
      </c>
      <c r="M249" s="57" t="s">
        <v>27</v>
      </c>
      <c r="N249" s="58">
        <v>44421</v>
      </c>
      <c r="O249" s="57">
        <v>1399.98</v>
      </c>
    </row>
    <row r="250" spans="1:15" x14ac:dyDescent="0.25">
      <c r="A250" s="57" t="s">
        <v>209</v>
      </c>
      <c r="B250" s="58">
        <v>45504</v>
      </c>
      <c r="C250" s="58" t="str">
        <f t="shared" si="3"/>
        <v>July</v>
      </c>
      <c r="D250" s="57" t="s">
        <v>120</v>
      </c>
      <c r="E250" s="57" t="s">
        <v>121</v>
      </c>
      <c r="F250" s="57" t="s">
        <v>61</v>
      </c>
      <c r="G250" s="57" t="s">
        <v>62</v>
      </c>
      <c r="H250" s="57" t="s">
        <v>19</v>
      </c>
      <c r="I250" s="57">
        <v>4</v>
      </c>
      <c r="J250" s="57">
        <v>899.99</v>
      </c>
      <c r="K250" s="57" t="s">
        <v>57</v>
      </c>
      <c r="L250" s="57" t="s">
        <v>35</v>
      </c>
      <c r="M250" s="57" t="s">
        <v>36</v>
      </c>
      <c r="N250" s="58">
        <v>44523</v>
      </c>
      <c r="O250" s="57">
        <v>3599.96</v>
      </c>
    </row>
    <row r="251" spans="1:15" x14ac:dyDescent="0.25">
      <c r="A251" s="57" t="s">
        <v>391</v>
      </c>
      <c r="B251" s="58">
        <v>45746</v>
      </c>
      <c r="C251" s="58" t="str">
        <f t="shared" si="3"/>
        <v>March</v>
      </c>
      <c r="D251" s="57" t="s">
        <v>65</v>
      </c>
      <c r="E251" s="57" t="s">
        <v>66</v>
      </c>
      <c r="F251" s="57" t="s">
        <v>117</v>
      </c>
      <c r="G251" s="57" t="s">
        <v>118</v>
      </c>
      <c r="H251" s="57" t="s">
        <v>19</v>
      </c>
      <c r="I251" s="57">
        <v>2</v>
      </c>
      <c r="J251" s="57">
        <v>89.99</v>
      </c>
      <c r="K251" s="57" t="s">
        <v>57</v>
      </c>
      <c r="L251" s="57" t="s">
        <v>50</v>
      </c>
      <c r="M251" s="57" t="s">
        <v>27</v>
      </c>
      <c r="N251" s="58">
        <v>44522</v>
      </c>
      <c r="O251" s="57">
        <v>179.98</v>
      </c>
    </row>
  </sheetData>
  <sortState xmlns:xlrd2="http://schemas.microsoft.com/office/spreadsheetml/2017/richdata2" ref="A2:O251">
    <sortCondition ref="A1:A2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Visualizations</vt:lpstr>
      <vt:lpstr>Scenario Summary</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2026-10-07T09:57:22Z</dcterms:created>
  <dcterms:modified xsi:type="dcterms:W3CDTF">2026-10-10T03:58:39Z</dcterms:modified>
</cp:coreProperties>
</file>